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1925" firstSheet="3" activeTab="5"/>
  </bookViews>
  <sheets>
    <sheet name="产品类型库" sheetId="2" r:id="rId1"/>
    <sheet name="产品库" sheetId="3" r:id="rId2"/>
    <sheet name="场景名称库" sheetId="4" r:id="rId3"/>
    <sheet name="客户画像库" sheetId="5" r:id="rId4"/>
    <sheet name="问候对话池" sheetId="6" r:id="rId5"/>
    <sheet name="关怀对话池" sheetId="11" r:id="rId6"/>
    <sheet name="销售对话池" sheetId="8" r:id="rId7"/>
  </sheets>
  <externalReferences>
    <externalReference r:id="rId8"/>
  </externalReferences>
  <definedNames>
    <definedName name="_xlnm._FilterDatabase" localSheetId="3" hidden="1">客户画像库!$A$1:$O$91</definedName>
    <definedName name="_xlnm._FilterDatabase" localSheetId="5" hidden="1">关怀对话池!$A$1:$K$181</definedName>
  </definedNames>
  <calcPr calcId="144525"/>
</workbook>
</file>

<file path=xl/sharedStrings.xml><?xml version="1.0" encoding="utf-8"?>
<sst xmlns="http://schemas.openxmlformats.org/spreadsheetml/2006/main" count="3537" uniqueCount="774">
  <si>
    <t>排序</t>
  </si>
  <si>
    <t>一级标签</t>
  </si>
  <si>
    <t>二级标签</t>
  </si>
  <si>
    <t>流量包</t>
  </si>
  <si>
    <t>瞬时流量</t>
  </si>
  <si>
    <t>定向流量</t>
  </si>
  <si>
    <t>区域流量</t>
  </si>
  <si>
    <t>流量年包</t>
  </si>
  <si>
    <t>归位包</t>
  </si>
  <si>
    <t>新业务</t>
  </si>
  <si>
    <t>视频彩铃</t>
  </si>
  <si>
    <t>移动云盘</t>
  </si>
  <si>
    <t>权益</t>
  </si>
  <si>
    <t>黑卡</t>
  </si>
  <si>
    <t>随心选生态券</t>
  </si>
  <si>
    <t>资费</t>
  </si>
  <si>
    <t>潮玩卡</t>
  </si>
  <si>
    <t>视频卡</t>
  </si>
  <si>
    <t>资费合约</t>
  </si>
  <si>
    <t>终端合约</t>
  </si>
  <si>
    <t>话费合约</t>
  </si>
  <si>
    <t>套餐打折</t>
  </si>
  <si>
    <t>产品类型</t>
  </si>
  <si>
    <t>产品名称</t>
  </si>
  <si>
    <t>产品档位</t>
  </si>
  <si>
    <t>产品介绍</t>
  </si>
  <si>
    <t>前三月1元15G定向流量包（抖音）</t>
  </si>
  <si>
    <t>1元</t>
  </si>
  <si>
    <t>前三个月1元抖音15GB定向体验包，第四个月恢复原价9元，限制客户12个月内只能订购一次1元体验包。</t>
  </si>
  <si>
    <t>前三月1元15G定向流量包（快手）</t>
  </si>
  <si>
    <t>前三个月1元快手15GB定向体验包，第四个月恢复原价9元，限制客户12个月内只能订购一次1元体验包。</t>
  </si>
  <si>
    <t>前三月1元30G定向流量包（抖音）</t>
  </si>
  <si>
    <t>前三个月1元抖音30GB定向体验包，第四个月恢复原价19元，限制客户12个月内只能订购一次1元体验包。</t>
  </si>
  <si>
    <t>前三月1元30G定向流量包（快手）</t>
  </si>
  <si>
    <t>前三个月1元快手30GB定向体验包，第四个月恢复原价19元，限制客户12个月内只能订购一次1元体验包。</t>
  </si>
  <si>
    <t>产品类型列内容必须严格与产品类型库二级标签保持一致</t>
  </si>
  <si>
    <t>0元70GB农村定向流量包（抖音+快手）</t>
  </si>
  <si>
    <t>0元</t>
  </si>
  <si>
    <t>产品包含70GB鄂尔多斯区域抖音+快手定向流量，仅78元及以上资费可选择订购，产品包账期24个月，到期自动失效，流量优先级614，流量不可结转、不可共享。</t>
  </si>
  <si>
    <t>0元50GB农村定向流量包（抖音+快手）</t>
  </si>
  <si>
    <t>产品包含50GB鄂尔多斯区域抖音+快手定向流量，仅58元资费可选择订购，产品包账期24个月，到期自动失效，流量优先级614，流量不可结转、不可共享。</t>
  </si>
  <si>
    <t>0元30GB农村定向流量包（抖音+快手）</t>
  </si>
  <si>
    <t>产品包含30GB鄂尔多斯区域抖音+快手定向流量，仅38元资费可选择订购，产品包账期24个月，到期自动失效，流量优先级614，流量不可结转、不可共享。</t>
  </si>
  <si>
    <t>9元15G定向流量包（抖音）</t>
  </si>
  <si>
    <t>9元</t>
  </si>
  <si>
    <t>包含抖音30GB定向体验包，流量不可结转、不可共享。</t>
  </si>
  <si>
    <t>9元15G定向流量包（快手）</t>
  </si>
  <si>
    <t>包含快手30GB定向体验包，流量不可结转、不可共享。</t>
  </si>
  <si>
    <t>150元240GB抖音+快手流量年包-鄂尔多斯</t>
  </si>
  <si>
    <t>150元</t>
  </si>
  <si>
    <t>产品包含15GB全国通用流量+225GB抖音+快手定向流量，150元费用一次性收取，流量资源一次性提供，流量年包账期12个月，到期自动失效，年包内通用流量优先级100，抖音+快手专属流量优先级810，定向流量不含直播。流量不可共享。</t>
  </si>
  <si>
    <t>200元360GB抖音+快手流量年包-鄂尔多斯</t>
  </si>
  <si>
    <t>200元</t>
  </si>
  <si>
    <t>产品包含20GB全国通用流量+340GB抖音+快手定向流量，200元费用一次性收取，流量资源一次性提供，流量年包账期12个月，到期自动失效，年包内通用流量优先级100，抖音+快手专属流量优先级810，定向流量不含直播。流量不可共享。</t>
  </si>
  <si>
    <t>3元20GB农村区域流量包-鄂尔多斯</t>
  </si>
  <si>
    <t>3元</t>
  </si>
  <si>
    <t>存量农村客户套餐升档28元及以上可办理3元20GB区域流量包，20GB鄂尔多斯区域流量、不共享、不结转、流量优先级580、账期12个月。</t>
  </si>
  <si>
    <t>1元30GB农村区域流量包-鄂尔多斯</t>
  </si>
  <si>
    <t>产品包含30GB鄂尔多斯区域流量，产品包账期24个月，到期自动失效，流量优先级580，流量不可结转、不可共享。</t>
  </si>
  <si>
    <t>1元50GB农村区域流量包-鄂尔多斯</t>
  </si>
  <si>
    <t>产品包含50GB鄂尔多斯区域流量，产品包账期24个月，到期自动失效，流量优先级580，流量不可结转、不可共享。</t>
  </si>
  <si>
    <t>1元70GB农村区域流量包-鄂尔多斯</t>
  </si>
  <si>
    <t>产品包含70GB鄂尔多斯区域流量，产品包账期24个月，到期自动失效，流量优先级580，流量不可结转、不可共享。</t>
  </si>
  <si>
    <t>小时包（4小时）2元1GB</t>
  </si>
  <si>
    <t>2元</t>
  </si>
  <si>
    <t>通用流量，4小时，一月最多30次</t>
  </si>
  <si>
    <t>小时包（4小时）5元3GB</t>
  </si>
  <si>
    <t>5元</t>
  </si>
  <si>
    <t>日包（24小时）3元1GB</t>
  </si>
  <si>
    <t>通用流量，24小时，一月最多30次</t>
  </si>
  <si>
    <t>日包（24小时）5元2GB</t>
  </si>
  <si>
    <t>日包（24小时）10元5GB</t>
  </si>
  <si>
    <t>10元</t>
  </si>
  <si>
    <t>夜间包（月包）10元10GB/月</t>
  </si>
  <si>
    <t>通用流量，月包，23:00-7:00之间使用</t>
  </si>
  <si>
    <t>七天包10元5GB</t>
  </si>
  <si>
    <t>通用流量，7天</t>
  </si>
  <si>
    <t>29元归位包</t>
  </si>
  <si>
    <t>29元</t>
  </si>
  <si>
    <t>包含40GB流量（其中20GB为区域流量）、权益超市会员、10GB咪咕定向流量、200分钟语音通话、咪咕视频钻石会员</t>
  </si>
  <si>
    <t>39元归位包</t>
  </si>
  <si>
    <t>39元</t>
  </si>
  <si>
    <t>包含100GB流量（其中70GB为区域流量）、权益超市会员、10GB咪咕定向流量、600分钟语音通话、咪咕视频钻石会员</t>
  </si>
  <si>
    <t>视频彩铃基础流量月包</t>
  </si>
  <si>
    <t>包含视频彩铃功能及1G通用流量，咪咕音乐客户端内基础库视频彩铃无限量下载更换。</t>
  </si>
  <si>
    <t>视频彩铃基础包</t>
  </si>
  <si>
    <t>包含视频彩铃功能，咪咕音乐客户端内视频彩铃无限量下载更换。</t>
  </si>
  <si>
    <t>视频彩铃全站包</t>
  </si>
  <si>
    <t>4元</t>
  </si>
  <si>
    <t>包含视频彩铃与音频彩铃功能，咪咕音乐客户端内彩铃及视频彩铃包月库所有内容随意更换。</t>
  </si>
  <si>
    <t>视频彩铃首月1元</t>
  </si>
  <si>
    <t>首月1元，次月恢复4元</t>
  </si>
  <si>
    <t>5G特色视频彩铃包</t>
  </si>
  <si>
    <t>包含视频彩铃功能+视频彩铃内容包，每月2首视频彩铃自动更新，对应产品专区内视频彩铃无限量下载更换。</t>
  </si>
  <si>
    <t>天籁草原视频彩铃包</t>
  </si>
  <si>
    <t>7元</t>
  </si>
  <si>
    <t>包含彩铃+视频彩铃+视频彩铃内容包，每月5首视频彩铃自动更新，对应产品专区内视频彩铃无限量下载更换。</t>
  </si>
  <si>
    <t>经典歌曲视频彩铃包</t>
  </si>
  <si>
    <t>包含彩铃+视频彩铃+视频彩铃内容包，每月3首视频彩铃自动更新，对应产品专区内视频彩铃无限量下载更换。</t>
  </si>
  <si>
    <t>3元商户彩铃包</t>
  </si>
  <si>
    <t>5GB互联网定向流量（咪咕、抖音、快手、爱优腾）,视频彩铃基础会员</t>
  </si>
  <si>
    <t>5元商户彩铃包</t>
  </si>
  <si>
    <t>5GB互联网定向流量（咪咕、抖音、快手、爱优腾）,5元视频彩铃订阅包,精选当前热门话题为素材的视频彩铃，每月5元包含5条视频彩铃每月自动更新、循环播放</t>
  </si>
  <si>
    <t>移动云盘首月1元</t>
  </si>
  <si>
    <t>首月1元，次月恢复5元</t>
  </si>
  <si>
    <t>个人500GB空间值（新人可领1T）+家庭500GB空间值,含30GB定向免流包，创建10个家庭群（20个成员）;4GB以内文件极速传输，实时语音转写30分钟，照片美化；支持视频倍速播放。</t>
  </si>
  <si>
    <t>移动云盘内蒙古套餐空间包(200G+200G）</t>
  </si>
  <si>
    <t>个人200GB空间值（新人可领1T）+家庭200GB空间值,含30GB定向免流包，创建10个家庭群（20个成员）;4GB以内文件极速传输，实时语音转写30分钟，照片美化；支持视频倍速播放。</t>
  </si>
  <si>
    <t>移动云盘内蒙古空间包(500G+500G)</t>
  </si>
  <si>
    <t>移动云盘内蒙古套餐空间包（1T+1T）</t>
  </si>
  <si>
    <t>8元</t>
  </si>
  <si>
    <t>个人1T空间值（新人可领1T）+家庭1T空间值,含30GB定向免流包，创建10个家庭群（20个成员）;4GB以内文件极速传输，实时语音转写30分钟，照片美化。；支持视频倍速播放。</t>
  </si>
  <si>
    <t>移动云盘白银会员(连续包月)</t>
  </si>
  <si>
    <t>个人2T空间值（新人可领1T）+家庭2T空间值,含200GB定向免流包+30GB免流包，创建99个家庭群（99个成员）;8GB以内文件极速传输，实时语音转写90分钟，照片美化，
PDF格式转化次数10次；支持视频倍速播放。</t>
  </si>
  <si>
    <t>移动云盘黄金会员(连续包月)</t>
  </si>
  <si>
    <t>20元</t>
  </si>
  <si>
    <t>个人4T空间值（新人可领1T）+家庭4T空间值,含200GB定向免流包+30GB免流包，创建99个家庭群（99个成员）;20GB以内文件极速传输，实时语音转写90分钟，照片美化，
PDF格式转化次数15次；支持视频倍速播放。</t>
  </si>
  <si>
    <t>移动云盘钻石会员(连续包月)</t>
  </si>
  <si>
    <t>50元</t>
  </si>
  <si>
    <t>个人8T空间值（新人可领1T）+家庭4T空间值,含200GB定向免流包+30GB免流包，创建200个家庭群（200个成员）;50GB以内文件极速传输，实时语音转写90分钟，照片美化，
PDF格式转化次数15次；支持视频倍速播放。</t>
  </si>
  <si>
    <t>黑卡PLUS会员</t>
  </si>
  <si>
    <t>1.9元</t>
  </si>
  <si>
    <t>黑卡PLUS会员可享受包含购物、加油、娱乐、本地生活、电影票等诸多优质权益。</t>
  </si>
  <si>
    <t>生态随心选会员-5元</t>
  </si>
  <si>
    <t>包含权益超市黄金会员/黑卡PLUS会员、可领3元生态券、2GB通用流量（需领取）；500积分档5月生态随心选，不含流量。</t>
  </si>
  <si>
    <t>生态随心选会员-10元</t>
  </si>
  <si>
    <t>资费为10元/月，主包为黑卡会员。包含权益超市黄金会员、10元生态券(每月可领1次)、13GB流量月包(每月可领1次，3GB通用流量+10GB定向流量)</t>
  </si>
  <si>
    <t>生态随心选会员-20元</t>
  </si>
  <si>
    <t>包含黑卡Plus会员、可领取20元生态券或爱优腾等互联网会员、5GB通用流量+10GB爱优腾等视频定向流量（需领取）</t>
  </si>
  <si>
    <t>动感地带潮玩卡资费-39元</t>
  </si>
  <si>
    <t>包含：200分钟语音+40GB通用流量+100条短信；权益包含：咪咕三项会员权益（视频、音乐、游戏），和彩云，权益超市黄金会员，全国家庭网。</t>
  </si>
  <si>
    <t>动感地带潮玩卡资费-59元</t>
  </si>
  <si>
    <t>59元</t>
  </si>
  <si>
    <t>包含：300分钟语音+80GB通用流量+100条短信，20M校园宽带（可选），权益包含：咪咕三项会员权益（视频、音乐、游戏），和彩云，权益超市黄金会员，全国家庭网。</t>
  </si>
  <si>
    <t>69元视频卡</t>
  </si>
  <si>
    <t>69元</t>
  </si>
  <si>
    <t>包含：300分钟语音+20GB通用流量+15GB专属APP定向流量，权益包含：黑卡权益</t>
  </si>
  <si>
    <t>58元资费月返17元金币活动（24个月）</t>
  </si>
  <si>
    <t>58元</t>
  </si>
  <si>
    <t>非强合约用户，客户近3个月语音、流量消费40元及以下、套餐38元及以下的用户即可办理</t>
  </si>
  <si>
    <t>79元资费月返23元金币活动（24个月）</t>
  </si>
  <si>
    <t>79元</t>
  </si>
  <si>
    <t>非强合约用户，客户近3个月语音、流量消费40-55元、套餐58元及以下的用户即可办理</t>
  </si>
  <si>
    <t>99元资费月返29元金币活动（24个月）</t>
  </si>
  <si>
    <t>99元</t>
  </si>
  <si>
    <t>非强合约用户，客户近3个月语音、流量消费55-69元、套餐79元及以下的用户即可办理</t>
  </si>
  <si>
    <t>129元资费月返38元金币活动（24个月）</t>
  </si>
  <si>
    <t>129元</t>
  </si>
  <si>
    <t>非强合约用户，客户近3个月语音、流量消费69-99元、套餐99元及以下的用户即可办理</t>
  </si>
  <si>
    <t>159元资费月返47元金币活动（24个月）</t>
  </si>
  <si>
    <t>159元</t>
  </si>
  <si>
    <t>非强合约用户，客户近3个月语音、流量消费99-129元、套餐129元及以下的用户即可办理</t>
  </si>
  <si>
    <t>199元资费月返59元金币活动（24个月）</t>
  </si>
  <si>
    <t>199元</t>
  </si>
  <si>
    <t>非强合约用户，客户近3个月语音、流量消费129-159元、套餐159元及以下的用户即可办理</t>
  </si>
  <si>
    <t>239元资费月返71元金币活动（24个月）</t>
  </si>
  <si>
    <t>239元</t>
  </si>
  <si>
    <t>非强合约用户，客户近3个月语音、流量消费159-199元、套餐199元及以下的用户即可办理</t>
  </si>
  <si>
    <t>299元资费月返89元金币活动（24个月）</t>
  </si>
  <si>
    <t>299元</t>
  </si>
  <si>
    <t>非强合约用户，客户近3个月语音、流量消费199-259元、套餐239元及以下的用户即可办理</t>
  </si>
  <si>
    <t>399元资费月返119元金币活动（24个月）</t>
  </si>
  <si>
    <t>399元</t>
  </si>
  <si>
    <t>非强合约用户，客户近3个月语音、流量消费259-309元、套餐299元及以下的用户即可办理</t>
  </si>
  <si>
    <t>599元资费月返179元金币活动（24个月）</t>
  </si>
  <si>
    <t>599元</t>
  </si>
  <si>
    <t>非强合约用户，客户近3个月语音、流量消费309元及以上、套餐399元及以下的用户即可办理</t>
  </si>
  <si>
    <t>58元资费月返17元话费金币活动（24个月）</t>
  </si>
  <si>
    <t>79元资费月返23元话费金币活动（24个月）</t>
  </si>
  <si>
    <t>99元资费月返29元话费金币活动（24个月）</t>
  </si>
  <si>
    <t>129元资费月返38元话费金币活动（24个月）</t>
  </si>
  <si>
    <t>159元资费月返47元话费金币活动（24个月）</t>
  </si>
  <si>
    <t>全家享99元套餐打七折（24个月）</t>
  </si>
  <si>
    <t>全家享129元套餐打七折（24个月）</t>
  </si>
  <si>
    <t>全家享159元套餐打七折（24个月）</t>
  </si>
  <si>
    <t>全家享199元套餐打七折（24个月）</t>
  </si>
  <si>
    <t>全家享239元套餐打七折（24个月）</t>
  </si>
  <si>
    <t>全家享299元套餐打七折（24个月）</t>
  </si>
  <si>
    <t>全家享399元套餐打七折（24个月）</t>
  </si>
  <si>
    <t>难度</t>
  </si>
  <si>
    <t>类型</t>
  </si>
  <si>
    <t>场景名称</t>
  </si>
  <si>
    <t>场景介绍</t>
  </si>
  <si>
    <t>推荐产品1</t>
  </si>
  <si>
    <t>推荐产品2</t>
  </si>
  <si>
    <t>推荐产品3</t>
  </si>
  <si>
    <t>推荐产品4</t>
  </si>
  <si>
    <t>推荐产品5</t>
  </si>
  <si>
    <t>推荐产品6</t>
  </si>
  <si>
    <t>个人</t>
  </si>
  <si>
    <t>流量激发</t>
  </si>
  <si>
    <t>聚焦流量需求客户，细分场景精准运营瞬时包、定向包等，激发客户流量使用需求。</t>
  </si>
  <si>
    <t>新业务场景，深挖客户痛点，满足客户产品使用需求，借助产品核心卖点，提升客户价值贡献。</t>
  </si>
  <si>
    <t>新入网场景</t>
  </si>
  <si>
    <t>新入网场景，针对不同年龄不同行业的用户，紧抓触点，实现高质量新入网，通过积极融合保障用户长期在网</t>
  </si>
  <si>
    <t>高套潜在升档运营</t>
  </si>
  <si>
    <t>针对高价值、流量使用饱和度高的用户，开展相关运营，进一步激发流量使用的同时，提高用户价值。</t>
  </si>
  <si>
    <t>终端换机客户</t>
  </si>
  <si>
    <t>终端换机场景，针对使用手机已达到两年及以上，并且根据不同年龄，不同职业、不同消费，以及对手机的需求，推荐办理不同档位的终端合约。</t>
  </si>
  <si>
    <t>流量运营</t>
  </si>
  <si>
    <t>针对抖音、快手APP偏好客户推广抖音、快手流量年包，满足客户上网需求，实现流量、价值双提升。</t>
  </si>
  <si>
    <t>到期续约</t>
  </si>
  <si>
    <t>针对次月优惠活动到期客户</t>
  </si>
  <si>
    <t>重点客户赢回场景</t>
  </si>
  <si>
    <t>针对异网高价值、有宽带资源、有我网家属的异网客户</t>
  </si>
  <si>
    <t>农村场景</t>
  </si>
  <si>
    <t>针对农村场景融合运营，打破农村客户流量不敢用、不够用的困局。</t>
  </si>
  <si>
    <t>潜在流失场景</t>
  </si>
  <si>
    <t>针对潜在流失客户，开展关怀挽留运营，根据客户使用语音、流量属性开展适配关怀活动，降低客户潜在流失风险。</t>
  </si>
  <si>
    <t>年轻人场景</t>
  </si>
  <si>
    <t>因年轻人市场尾部用户较多，特针对年轻人市场低消用户开展运营，激发年轻人用户活性，赢回年轻人用户流量使用习惯。</t>
  </si>
  <si>
    <t>终端高饱和场景</t>
  </si>
  <si>
    <t>终端高饱和场景，针对使用终端且使用语音流量饱和度较高，根据不同消费和职业，推荐办理不同档位手机终端，并且也可以提升套餐内的语音和流量。</t>
  </si>
  <si>
    <t>套餐适配运营</t>
  </si>
  <si>
    <t>针对套餐不适配、潜在不满客户开展关怀运营，根据用户使用流量、语音等相关情况，开展适配运营活动，提高客户套餐适配性，提升客户满意度。</t>
  </si>
  <si>
    <t>校园场景</t>
  </si>
  <si>
    <t>校园场景，针对即将入校、入校新生等不同校园用户，通过触点营销，实现高质量新入网，保障用户长期在网</t>
  </si>
  <si>
    <t>异网主卡赢回场景</t>
  </si>
  <si>
    <t>针对异网主卡用户，开展赢回运营，深挖用户语音、流量需求，并为其制定配套的打包政策。</t>
  </si>
  <si>
    <t>客户名称</t>
  </si>
  <si>
    <t>人设</t>
  </si>
  <si>
    <t>性别</t>
  </si>
  <si>
    <t>合约</t>
  </si>
  <si>
    <t>价值</t>
  </si>
  <si>
    <t>年龄</t>
  </si>
  <si>
    <t>流量</t>
  </si>
  <si>
    <t>融合</t>
  </si>
  <si>
    <t>视频偏好</t>
  </si>
  <si>
    <t>职业</t>
  </si>
  <si>
    <t>地域</t>
  </si>
  <si>
    <t>客户1</t>
  </si>
  <si>
    <t>全职妈妈</t>
  </si>
  <si>
    <t>女</t>
  </si>
  <si>
    <t>无合约</t>
  </si>
  <si>
    <t>有价值客户</t>
  </si>
  <si>
    <t>25-40</t>
  </si>
  <si>
    <t>20-40GB</t>
  </si>
  <si>
    <t>58-98元新资费</t>
  </si>
  <si>
    <t>0度客户</t>
  </si>
  <si>
    <t>抖音</t>
  </si>
  <si>
    <t>无</t>
  </si>
  <si>
    <t>城区</t>
  </si>
  <si>
    <t>客户2</t>
  </si>
  <si>
    <t>在校大学生</t>
  </si>
  <si>
    <t>男</t>
  </si>
  <si>
    <t>有价值用户</t>
  </si>
  <si>
    <t>16-25</t>
  </si>
  <si>
    <t>40GB以上</t>
  </si>
  <si>
    <t>客户3</t>
  </si>
  <si>
    <t>职场青年</t>
  </si>
  <si>
    <t>客户4</t>
  </si>
  <si>
    <t>商务人士</t>
  </si>
  <si>
    <t>40-60</t>
  </si>
  <si>
    <t>98元以上新资费</t>
  </si>
  <si>
    <t>客户5</t>
  </si>
  <si>
    <t>集团AB类用户</t>
  </si>
  <si>
    <t>客户6</t>
  </si>
  <si>
    <t>个体工商户</t>
  </si>
  <si>
    <t>高价值客户</t>
  </si>
  <si>
    <t>12G-20G</t>
  </si>
  <si>
    <t>58元以下新资费</t>
  </si>
  <si>
    <t xml:space="preserve">视频彩铃权益已领取未活跃 </t>
  </si>
  <si>
    <t>抖音、快手偏好客户</t>
  </si>
  <si>
    <t>移动云盘权益已领取未活跃</t>
  </si>
  <si>
    <t>务工人员</t>
  </si>
  <si>
    <t>6G-12G</t>
  </si>
  <si>
    <t>20-40G</t>
  </si>
  <si>
    <t>抖音、爱优腾芒</t>
  </si>
  <si>
    <t>高龄独居老人</t>
  </si>
  <si>
    <t>强合约</t>
  </si>
  <si>
    <t>他网58-99元新资费</t>
  </si>
  <si>
    <t>黑卡权益已领取未激活</t>
  </si>
  <si>
    <t>老旧资费</t>
  </si>
  <si>
    <t>镇区</t>
  </si>
  <si>
    <t>他网98元以上资费</t>
  </si>
  <si>
    <t>爱优腾芒</t>
  </si>
  <si>
    <t>弱合约</t>
  </si>
  <si>
    <t>60岁以上</t>
  </si>
  <si>
    <t>他网58-98元新资费</t>
  </si>
  <si>
    <t>高中毕业生</t>
  </si>
  <si>
    <t>40G以上）</t>
  </si>
  <si>
    <t>高价值高饱和客户</t>
  </si>
  <si>
    <t>12-20GB</t>
  </si>
  <si>
    <t>0度融合</t>
  </si>
  <si>
    <t>26-40</t>
  </si>
  <si>
    <t>价值用户</t>
  </si>
  <si>
    <t>1G-6G</t>
  </si>
  <si>
    <t>3度以下客户</t>
  </si>
  <si>
    <t>高价值用户</t>
  </si>
  <si>
    <t>98元及以上新资费</t>
  </si>
  <si>
    <t>3-5度以下客户</t>
  </si>
  <si>
    <t>1G以下</t>
  </si>
  <si>
    <t>农村</t>
  </si>
  <si>
    <t>40G以上</t>
  </si>
  <si>
    <t>5度以上客户</t>
  </si>
  <si>
    <t>价值客户</t>
  </si>
  <si>
    <t>12-20G</t>
  </si>
  <si>
    <t>他网58-99元资费</t>
  </si>
  <si>
    <t>他网38元以下资费</t>
  </si>
  <si>
    <t>他网58元以上资费</t>
  </si>
  <si>
    <t>无宽带覆盖低消农村客户</t>
  </si>
  <si>
    <t xml:space="preserve">1G-6G </t>
  </si>
  <si>
    <t>无宽带覆盖区域高价值客户</t>
  </si>
  <si>
    <t>无宽带覆盖区域套餐抖音、快手偏好客户</t>
  </si>
  <si>
    <t>20-40G)</t>
  </si>
  <si>
    <t>宽带覆盖区域低消客户</t>
  </si>
  <si>
    <t>宽带覆盖区域高价值客户</t>
  </si>
  <si>
    <t>宽带覆盖区域套餐抖音、快手偏好客户</t>
  </si>
  <si>
    <t>40-50GB</t>
  </si>
  <si>
    <t>黑卡权益已领取未活跃</t>
  </si>
  <si>
    <t>滴滴司机</t>
  </si>
  <si>
    <t>58以下新资费</t>
  </si>
  <si>
    <t>居家年轻人</t>
  </si>
  <si>
    <t>20G-40G</t>
  </si>
  <si>
    <t>视频彩铃已活跃</t>
  </si>
  <si>
    <t>黑卡权益已活跃</t>
  </si>
  <si>
    <t>保安</t>
  </si>
  <si>
    <t>移动云盘已领取未活跃</t>
  </si>
  <si>
    <t>陪读家长</t>
  </si>
  <si>
    <t>触点名称</t>
  </si>
  <si>
    <t>内容1</t>
  </si>
  <si>
    <t>回复1</t>
  </si>
  <si>
    <t>得分1</t>
  </si>
  <si>
    <t>内容2</t>
  </si>
  <si>
    <t>回复2</t>
  </si>
  <si>
    <t>得分2</t>
  </si>
  <si>
    <t>外呼触点</t>
  </si>
  <si>
    <t>第一句</t>
  </si>
  <si>
    <t>您好，我是移动公司客户经理，我们现在有个优惠活动，给您介绍一下可以吗？</t>
  </si>
  <si>
    <t>不用了谢谢</t>
  </si>
  <si>
    <t>您好领导，我是中国移动的客户经理，感谢您接听我的电话，我们今天是来为您推荐一款合适您的业务的。</t>
  </si>
  <si>
    <t>不用了，谢谢</t>
  </si>
  <si>
    <t>您好，我是您的专属客户经理，根据您最近的消费和流量使用情况，为您申请了一套优惠的资费政策，我给您介绍一下吧。</t>
  </si>
  <si>
    <t>不用了</t>
  </si>
  <si>
    <t>您好，我是您的专属客户经理，根据您最近的消费和流量使用情况，为您匹配了一项适合您的政策。</t>
  </si>
  <si>
    <t>不用了，不需要。</t>
  </si>
  <si>
    <t>您好，我是您的专属客户经理，根据您最近的消费和流量使用情况，为您申请了一套优惠的资费政策，我给您介绍一下？</t>
  </si>
  <si>
    <t>不用啦</t>
  </si>
  <si>
    <t>您好，我是您的专属客户经理，根据您最近的消费和流量使用情况，为您申请了一项适合您的政策。</t>
  </si>
  <si>
    <t>其他</t>
  </si>
  <si>
    <t>本次为您推荐的活动是根据您近期消费情况特殊申请的政策，较于您目前使用的资费合适很多，同时不会耽误您很长时间。</t>
  </si>
  <si>
    <t>好的</t>
  </si>
  <si>
    <t>您近三个月的月均消费和月均DOU刚好符合我们为您推荐的政策，您不妨听我介绍一下。</t>
  </si>
  <si>
    <t>是这样的，这次活动优惠力度很大，只耽误您一分钟时间，您要是觉得不合适也可以不办啊，错过了挺可惜的!</t>
  </si>
  <si>
    <t>行呢</t>
  </si>
  <si>
    <t>我看您最近消费有些超套，我为您推荐的比较适合，要不您了解一下。</t>
  </si>
  <si>
    <t>您可以先听我介绍一下，耽误您俩分钟了解一下，合适的话您可以办理，不合适的话您也可以选择其他的。</t>
  </si>
  <si>
    <t>可以</t>
  </si>
  <si>
    <t>入户触点</t>
  </si>
  <si>
    <t>您好，我是您的移动专属客户经理，这次上门来是给您申请了一个合适的活动，耽误您几分钟时间为您介绍一下可以吗？</t>
  </si>
  <si>
    <t>可以，进来吧!</t>
  </si>
  <si>
    <t>您好，我是中国移动的客户经理，是来免费帮您查询话费的。</t>
  </si>
  <si>
    <t>进来吧</t>
  </si>
  <si>
    <t>您好，我是中国移动的客户经理，今天上门来是免费给您查询话费余额的。您看方便我进来吗？</t>
  </si>
  <si>
    <t>进来吧，家里就我一个人，没啥不方便的。</t>
  </si>
  <si>
    <t>您好，我是移动公司客户经理，现在有个优惠活动需告知您。</t>
  </si>
  <si>
    <t>行吧</t>
  </si>
  <si>
    <t>您告诉我一下手机号码，我给您查询一下吧。你们家可真干净，稍等下，我带个鞋套。</t>
  </si>
  <si>
    <t>好的。</t>
  </si>
  <si>
    <t>您告诉我一下手机号码，我给您查询一下吧。</t>
  </si>
  <si>
    <t>你们家的装修风格很特别呀，是您自己设计的吗？您告诉我一下手机号码，我给您查询一下吧。</t>
  </si>
  <si>
    <t>进厅触点</t>
  </si>
  <si>
    <t>您好，有什么需要我帮您办理的吗，您请坐，这边需要您先提供一下证件。</t>
  </si>
  <si>
    <t>您好，请问需要办理什么业务？</t>
  </si>
  <si>
    <t>我想办张卡。</t>
  </si>
  <si>
    <t>我们近期有一些比较合适的活动，您先看一下，然后我再给您详细绍一下。</t>
  </si>
  <si>
    <t>嗯嗯。</t>
  </si>
  <si>
    <t>这些都是近期比较合适的活动，您可以先看看想办理哪个。</t>
  </si>
  <si>
    <t>行吧。</t>
  </si>
  <si>
    <t>集团触点</t>
  </si>
  <si>
    <t>领导，好久不见马上要过节了，过来拜访下您。看到你们公司又搞了一个大项目，最近工作挺忙的吧？</t>
  </si>
  <si>
    <t>嗯，是呢，最近忙的真是焦头烂额呀。</t>
  </si>
  <si>
    <t>领导，忙着呢？</t>
  </si>
  <si>
    <t>嗯。</t>
  </si>
  <si>
    <t>我们近期推出了一些比较合适的活动，特意来给您介绍一下~</t>
  </si>
  <si>
    <t>真是谢谢你了，小李。</t>
  </si>
  <si>
    <t>过来给您汇报一下新的活动。</t>
  </si>
  <si>
    <t>触点1名称</t>
  </si>
  <si>
    <t>触点1销售</t>
  </si>
  <si>
    <t>触点1客户</t>
  </si>
  <si>
    <t>触点1得分</t>
  </si>
  <si>
    <t>触点2名称</t>
  </si>
  <si>
    <t>触点2销售</t>
  </si>
  <si>
    <t>触点2客户</t>
  </si>
  <si>
    <t>触点2得分</t>
  </si>
  <si>
    <t>触点3名称</t>
  </si>
  <si>
    <t>触点3销售</t>
  </si>
  <si>
    <t>触点3客户</t>
  </si>
  <si>
    <t>触点3得分</t>
  </si>
  <si>
    <r>
      <rPr>
        <sz val="11"/>
        <color rgb="FF000000"/>
        <rFont val="宋体"/>
        <charset val="134"/>
      </rPr>
      <t>场景1客户</t>
    </r>
    <r>
      <rPr>
        <sz val="11"/>
        <color rgb="FF000000"/>
        <rFont val="宋体"/>
        <charset val="134"/>
      </rPr>
      <t>1</t>
    </r>
  </si>
  <si>
    <t>听您声音您好年轻呀，您是刚毕业吗？</t>
  </si>
  <si>
    <t>嘿嘿，谢谢夸奖，我都有俩个孩子了。</t>
  </si>
  <si>
    <t>看您这么年轻，没想到竟然都是俩个孩子的妈妈了。俩个宝宝都这么可爱！</t>
  </si>
  <si>
    <t>嘿嘿，谢谢夸奖，是俩个淘气鬼。</t>
  </si>
  <si>
    <t>是吗？真是听不出来呀！还以为您是刚毕业呢！</t>
  </si>
  <si>
    <t>哈哈，您真会说话!</t>
  </si>
  <si>
    <t>俩个宝宝长得跟您真像啊，有这么可爱小宝宝，真是让人羡慕啊！</t>
  </si>
  <si>
    <t>场景1客户2</t>
  </si>
  <si>
    <t>听你说话口音不是本地人吧，老家是哪里的呀?你是那个学校的？快毕业了吧？</t>
  </si>
  <si>
    <t>老家是东北的，我是农牧学校的，嗯，快了，现在在单位实习期</t>
  </si>
  <si>
    <t>你好，需要办理什么业务，看你好年轻啊，还在上学吧！</t>
  </si>
  <si>
    <t>嗯，还在上学，最近放假了</t>
  </si>
  <si>
    <t>哦，太巧了，我妹妹也在你们学校。当时学校门口有个卖炸串的店是学生勤功俭学开的，现在还在吧？</t>
  </si>
  <si>
    <t>嗯，是的，味道不错</t>
  </si>
  <si>
    <t>哦，真好，有寒暑假，多出去转转看看</t>
  </si>
  <si>
    <t>嗯，过两天就出门。</t>
  </si>
  <si>
    <t>场景1客户3</t>
  </si>
  <si>
    <t>听你声音好年轻啊，你是学生还是工作了</t>
  </si>
  <si>
    <t>工作了</t>
  </si>
  <si>
    <t>看你好年轻啊，你还是学生吧</t>
  </si>
  <si>
    <t>不，已经工作了</t>
  </si>
  <si>
    <t>看您话费是有统付这些了，福利待遇挺好呀</t>
  </si>
  <si>
    <t>还行</t>
  </si>
  <si>
    <t>哦，看你套餐消费这么高，平时工作应该很忙。</t>
  </si>
  <si>
    <t>嗯，是的，工作比较忙</t>
  </si>
  <si>
    <r>
      <rPr>
        <sz val="11"/>
        <color rgb="FF000000"/>
        <rFont val="宋体"/>
        <charset val="134"/>
      </rPr>
      <t>场景1客户</t>
    </r>
    <r>
      <rPr>
        <sz val="11"/>
        <color rgb="FF000000"/>
        <rFont val="宋体"/>
        <charset val="134"/>
      </rPr>
      <t>4</t>
    </r>
  </si>
  <si>
    <t>领导您工作是不是挺忙的呀，平时出差是不是比较多。</t>
  </si>
  <si>
    <t>嗯，平时工作比较多。</t>
  </si>
  <si>
    <t>那挺辛苦的，那我简短点给您介绍。</t>
  </si>
  <si>
    <t>场景1客户5</t>
  </si>
  <si>
    <t>你们的办公室可真大，办公环境真好。听您说话的口音好像不是本地人，您是哪里人呀？</t>
  </si>
  <si>
    <t>嗯，我是东北的赤峰的</t>
  </si>
  <si>
    <t>您好，我是中国移动的客户经理，看您语音流量都使用挺多的，最近工作是不是很忙？</t>
  </si>
  <si>
    <t>哦，太巧了，我是东北锡盟的，咱们也算是半个老乡啦，我是毕业后直接参加工作就在这里了。您是在这定居了还是工作在这儿？在这生活还习惯吗？</t>
  </si>
  <si>
    <t>在这定居了</t>
  </si>
  <si>
    <t>老板，您是做什么生意的？</t>
  </si>
  <si>
    <t>做建材的</t>
  </si>
  <si>
    <t>场景1客户6</t>
  </si>
  <si>
    <t>老板，最近生意挺好的吧？</t>
  </si>
  <si>
    <t>还能凑乎</t>
  </si>
  <si>
    <t>老板，最近生意怎么样呀？</t>
  </si>
  <si>
    <t>我这里生意倒是还可以</t>
  </si>
  <si>
    <t>这疫情过去了，感觉房地产行业回暖了好多，所以咱们这建材生意也挺好的。</t>
  </si>
  <si>
    <t>是呢，今年比前两年好做多了。</t>
  </si>
  <si>
    <t>场景2客户1</t>
  </si>
  <si>
    <t>做通信的</t>
  </si>
  <si>
    <t>场景2客户2</t>
  </si>
  <si>
    <t>场景2客户3</t>
  </si>
  <si>
    <t>您一般上网是追剧还是刷抖音和快手呢？</t>
  </si>
  <si>
    <t>是的，平时就爱刷刷抖音</t>
  </si>
  <si>
    <t>那我本次为您推荐的业务真的很适合你，我给您简单说一下。</t>
  </si>
  <si>
    <t>场景2客户4</t>
  </si>
  <si>
    <t>场景2客户5</t>
  </si>
  <si>
    <t>场景2客户6</t>
  </si>
  <si>
    <t>听您口音不想本地人，您是来这边工作的吗？</t>
  </si>
  <si>
    <t>是啊，找工作找到这边了。</t>
  </si>
  <si>
    <t>您是外地过来上班的啊，帮您看了一下语音和流量不太够用，是不是没有无线用的有点儿紧张</t>
  </si>
  <si>
    <t>是了哇，流量天天怕超了，打电话也得稍微注意着</t>
  </si>
  <si>
    <t>您好，我是中国移动的客户经理，看您好年轻呀，已经上班了吗？</t>
  </si>
  <si>
    <t>是了，刚上班，租的房</t>
  </si>
  <si>
    <t>您在这边还习惯吧，我们这边早晚气温比较低~</t>
  </si>
  <si>
    <t>咱们这边可太舒服了，夏天也没有那么炎热。</t>
  </si>
  <si>
    <t>我们给你推荐的这个政策很合适您，您有需要的话可以办理，这样在家、在外面都不怕超了</t>
  </si>
  <si>
    <t>我考虑考虑</t>
  </si>
  <si>
    <t>您好，我是中国移动的客户经理，您不是本地的啊，鄂尔多斯人文环境都挺好的，留下来不错。</t>
  </si>
  <si>
    <t>是的，来了感觉还不错</t>
  </si>
  <si>
    <t>场景3客户1</t>
  </si>
  <si>
    <t>您长的好年轻啊，你是学生还是工作了</t>
  </si>
  <si>
    <t>场景3客户2</t>
  </si>
  <si>
    <t>老人家，家里就您自己，您没跟孩子一起住啊？</t>
  </si>
  <si>
    <t>没有，年轻人跟我们生活习惯不一样，我就不去麻烦他们了，工作都忙。</t>
  </si>
  <si>
    <t>您好，大爷，需要办理什么业务？</t>
  </si>
  <si>
    <t>我想查查话费</t>
  </si>
  <si>
    <t>是吧，我母亲也是，自己在老家待着，也不愿意跟我们一起住。老人家，您今年贵庚啊？</t>
  </si>
  <si>
    <t>我今年75了。我们这个年纪，身子骨硬朗，不愿意麻烦你们年轻人。</t>
  </si>
  <si>
    <t>好的，我帮您查查，话费不够用么？还是总是超套餐？</t>
  </si>
  <si>
    <t>是的，总是不够用</t>
  </si>
  <si>
    <t>场景3客户3</t>
  </si>
  <si>
    <t>场景3客户4</t>
  </si>
  <si>
    <t>场景3客户5</t>
  </si>
  <si>
    <t>场景3客户6</t>
  </si>
  <si>
    <t>您现在是还在上高中吗？听你声音好年轻啊。</t>
  </si>
  <si>
    <t>我6月份就毕业了。</t>
  </si>
  <si>
    <t>您现在是还在上高中吗？看你好年轻啊。</t>
  </si>
  <si>
    <t>那提前预祝你取得好成绩，上个心仪的好大学！</t>
  </si>
  <si>
    <t>谢谢</t>
  </si>
  <si>
    <t>场景4客户1</t>
  </si>
  <si>
    <t>场景4客户2</t>
  </si>
  <si>
    <t>场景4客户3</t>
  </si>
  <si>
    <t>场景4客户4</t>
  </si>
  <si>
    <t>场景4客户5</t>
  </si>
  <si>
    <t>场景4客户6</t>
  </si>
  <si>
    <t>场景5客户1</t>
  </si>
  <si>
    <t>谢谢~</t>
  </si>
  <si>
    <t>场景5客户2</t>
  </si>
  <si>
    <t>场景5客户3</t>
  </si>
  <si>
    <t>场景5客户4</t>
  </si>
  <si>
    <t>场景5客户5</t>
  </si>
  <si>
    <t>场景5客户6</t>
  </si>
  <si>
    <t>场景6客户1</t>
  </si>
  <si>
    <t>场景6客户2</t>
  </si>
  <si>
    <t>场景6客户3</t>
  </si>
  <si>
    <t>场景6客户4</t>
  </si>
  <si>
    <t>场景6客户5</t>
  </si>
  <si>
    <t>做设计的</t>
  </si>
  <si>
    <t>场景6客户6</t>
  </si>
  <si>
    <t>场景7客户1</t>
  </si>
  <si>
    <t>场景7客户2</t>
  </si>
  <si>
    <t>场景7客户3</t>
  </si>
  <si>
    <t>场景7客户4</t>
  </si>
  <si>
    <t>场景7客户5</t>
  </si>
  <si>
    <t>场景7客户6</t>
  </si>
  <si>
    <t>场景8客户1</t>
  </si>
  <si>
    <t>场景8客户2</t>
  </si>
  <si>
    <t>场景8客户3</t>
  </si>
  <si>
    <t>我知道您平时学习一定很忙吧？我们这次手机终端活动的优惠力度非常大，只占用您1分钟时间。简单给您介绍可以吗？</t>
  </si>
  <si>
    <t>只要办理对应资费并且购买手机终端可获得每月30%的话费返款</t>
  </si>
  <si>
    <t>场景8客户4</t>
  </si>
  <si>
    <t>场景8客户5</t>
  </si>
  <si>
    <t>场景8客户6</t>
  </si>
  <si>
    <t>场景9客户1</t>
  </si>
  <si>
    <t>您家养了这么多羊啊！</t>
  </si>
  <si>
    <t>是啊，一茬接一茬呢！</t>
  </si>
  <si>
    <t>这些羊平时都是您亲自去草场上放吗？</t>
  </si>
  <si>
    <t>我老伴骑着车去呢！</t>
  </si>
  <si>
    <t>场景9客户2</t>
  </si>
  <si>
    <t>您家里安装宽带了吗？</t>
  </si>
  <si>
    <t>没安装，说是宽带进不来。</t>
  </si>
  <si>
    <t>是这样啊，查询到您近期流量一直不太够用，您平时上网是刷视频吗？</t>
  </si>
  <si>
    <t>平时就爱看看抖音小视频。</t>
  </si>
  <si>
    <t>场景9客户3</t>
  </si>
  <si>
    <t>您家里是在牧区，养的多少只羊啊？</t>
  </si>
  <si>
    <t>100多只呢。</t>
  </si>
  <si>
    <t>那您出去放羊的时候玩手机是爱看抖音还是快手了？</t>
  </si>
  <si>
    <t>一般看抖音看的多。</t>
  </si>
  <si>
    <t>场景9客户4</t>
  </si>
  <si>
    <t>阿姨，您家的花开的真好看，这都是您和叔叔养的吗？</t>
  </si>
  <si>
    <t>是啊，这些都是，还有好些被姑娘搬走了。</t>
  </si>
  <si>
    <t>阿姨，这是栀子花吧，您是我见过养栀子花的最好得了，这花一般不好养啊。</t>
  </si>
  <si>
    <t>哈哈，还好。我平时就是用洗米水浇的，偶尔给上点肥料。</t>
  </si>
  <si>
    <t>场景9客户5</t>
  </si>
  <si>
    <t>大哥，这满墙的奖状都是您孩子得的啊，可真厉害。</t>
  </si>
  <si>
    <t>哈哈，是呢，这孩子从小就学习好，从来都没让我操过心。</t>
  </si>
  <si>
    <t>您可真幸福，孩子这么上进，以后肯定有大出息！</t>
  </si>
  <si>
    <t>哈哈，借您吉言了！</t>
  </si>
  <si>
    <t>场景9客户6</t>
  </si>
  <si>
    <t>您家里是在牧区，养的多少只羊了？</t>
  </si>
  <si>
    <t>场景10客户1</t>
  </si>
  <si>
    <t>场景10客户2</t>
  </si>
  <si>
    <t>是呢，刚上班。</t>
  </si>
  <si>
    <t>您好，我是中国移动的客户经理，听您口音您不是本地人吧。</t>
  </si>
  <si>
    <t>是的，鄂尔多斯人文环境都挺好的，留下来挺好的。</t>
  </si>
  <si>
    <t>场景10客户3</t>
  </si>
  <si>
    <t>场景10客户4</t>
  </si>
  <si>
    <t>场景10客户5</t>
  </si>
  <si>
    <t>现在大家挣钱都挺不容易的，正好我们最近推出的活动都比较优惠，帮您省不少钱呢！</t>
  </si>
  <si>
    <t>是吗？能省多少钱啊？</t>
  </si>
  <si>
    <t>领导，省下来的钱够您一年买烟了。</t>
  </si>
  <si>
    <t>哈哈，你真幽默。</t>
  </si>
  <si>
    <t>场景10客户6</t>
  </si>
  <si>
    <t>场景11客户1</t>
  </si>
  <si>
    <t>场景11客户2</t>
  </si>
  <si>
    <t>场景11客户3</t>
  </si>
  <si>
    <t>场景11客户4</t>
  </si>
  <si>
    <t>听您声音可真年轻！你还没工作吧？</t>
  </si>
  <si>
    <t>是呢，今年刚毕业。</t>
  </si>
  <si>
    <t>看您好年轻呀，真是青春活力</t>
  </si>
  <si>
    <t>嗯，哈哈，刚毕业</t>
  </si>
  <si>
    <t>现在毕业好找工作吗？你们现在的年轻人压力珽大的。</t>
  </si>
  <si>
    <t>前俩天刚找到，下个星期才报道呢！</t>
  </si>
  <si>
    <t>哦哦，这样呀，那祝您尽快找到一个心仪的工作。</t>
  </si>
  <si>
    <t>好的，谢谢</t>
  </si>
  <si>
    <t>场景11客户5</t>
  </si>
  <si>
    <t>场景11客户6</t>
  </si>
  <si>
    <t>场景12客户1</t>
  </si>
  <si>
    <t>场景12客户2</t>
  </si>
  <si>
    <t>场景12客户3</t>
  </si>
  <si>
    <t>场景12客户4</t>
  </si>
  <si>
    <t>场景12客户5</t>
  </si>
  <si>
    <t>场景12客户6</t>
  </si>
  <si>
    <t>做能源的</t>
  </si>
  <si>
    <t>场景13客户1</t>
  </si>
  <si>
    <t>场景13客户2</t>
  </si>
  <si>
    <t>场景13客户3</t>
  </si>
  <si>
    <t>看您好年轻呀，真是青春又有活力。</t>
  </si>
  <si>
    <t>场景13客户4</t>
  </si>
  <si>
    <t>听您说话口音可真亲切，您老家是赤峰的吗?</t>
  </si>
  <si>
    <t>是呢，不过我来这边生活也十几年了。</t>
  </si>
  <si>
    <t>我也是赤峰的，真巧啊，大爷我跟您是老乡呢!</t>
  </si>
  <si>
    <t>是呢，真巧啊，碰见一个老乡不容易。</t>
  </si>
  <si>
    <t>场景13客户5</t>
  </si>
  <si>
    <t>场景13客户6</t>
  </si>
  <si>
    <t>场景14客户1</t>
  </si>
  <si>
    <t>场景14客户2</t>
  </si>
  <si>
    <t>场景14客户3</t>
  </si>
  <si>
    <t>场景14客户4</t>
  </si>
  <si>
    <t>场景14客户5</t>
  </si>
  <si>
    <t>场景14客户6</t>
  </si>
  <si>
    <t>场景15客户1</t>
  </si>
  <si>
    <t>场景15客户2</t>
  </si>
  <si>
    <t>场景15客户3</t>
  </si>
  <si>
    <t>您家孩子几年级了？陪孩子学习成长是一件特别辛苦的事儿啊！</t>
  </si>
  <si>
    <t>我家孩子现在初三了，快升高中了感觉压力好大啊！</t>
  </si>
  <si>
    <t>陪孩子读书的家长最伟大了，这是一个短期见不到成效且得不到很理解的工作啊。</t>
  </si>
  <si>
    <t>是呢是呢，确实是。</t>
  </si>
  <si>
    <t>现在的家长都太不容易了，感觉不是孩子自己在上学，家长也在跟着一起进步一起学习呢吧？</t>
  </si>
  <si>
    <t>是呢是呢，太不容易了</t>
  </si>
  <si>
    <t>现在的社会，家长的生活压力、孩子的学习压力都好大啊，所以其实好多时候要顺其自然一些，学习毕竟也不是唯一的出路，天生我材必有用的。</t>
  </si>
  <si>
    <t>哎，每天陪孩子，孩子还叛逆不理解。</t>
  </si>
  <si>
    <t>场景15客户4</t>
  </si>
  <si>
    <t>场景15客户5</t>
  </si>
  <si>
    <t>场景15客户6</t>
  </si>
  <si>
    <t>内容11</t>
  </si>
  <si>
    <t>回复11</t>
  </si>
  <si>
    <t>得分11</t>
  </si>
  <si>
    <t>内容12</t>
  </si>
  <si>
    <t>回复12</t>
  </si>
  <si>
    <t>得分12</t>
  </si>
  <si>
    <t>内容21</t>
  </si>
  <si>
    <t>回复21</t>
  </si>
  <si>
    <t>得分21</t>
  </si>
  <si>
    <t>内容22</t>
  </si>
  <si>
    <t>回复22</t>
  </si>
  <si>
    <t>得分22</t>
  </si>
  <si>
    <t>内容31</t>
  </si>
  <si>
    <t>回复31</t>
  </si>
  <si>
    <t>得分31</t>
  </si>
  <si>
    <t>内容32</t>
  </si>
  <si>
    <t>回复32</t>
  </si>
  <si>
    <t>得分32</t>
  </si>
  <si>
    <t>我们针对向您这种的优质客户专门申请了前三月1元包含15GB的抖音定向流量包，第四个月恢复原价9元/月，您可以先体验几个月，如您感觉产品不错您就继续使用，如您不想使用了可以随时联系我帮您办理，您看您是体验抖音包还是快手包啊？</t>
  </si>
  <si>
    <t>抖音包吧，一般看抖音看的比较多</t>
  </si>
  <si>
    <t>您一般是看抖音多还是快手多呢？我们推出了前三月1元包含15GB的抖音或者快手的定向流量包，第四个月恢复原价9元/月，您看需要为您办理吗？</t>
  </si>
  <si>
    <t>我们这个定向流量特惠包真的是很优惠呢，尤其咱们现在免不了刷刷抖音快手，前3个月才1元，合计每GB才6分钱，这么优惠的流量包现在可少了</t>
  </si>
  <si>
    <t>这样算下来确实挺优惠</t>
  </si>
  <si>
    <t>我们这个定向流量前3个月1元，第4个月起正价9元，基本能满足您刷抖音快手的需求。</t>
  </si>
  <si>
    <t>价格还算优惠</t>
  </si>
  <si>
    <t>咱们这个流量包您想看视频随意刷，就是不包含直播的，我现在帮您订购一下吧？</t>
  </si>
  <si>
    <t>这么优惠的包，您考虑办一个吗？</t>
  </si>
  <si>
    <t>我再考虑考虑</t>
  </si>
  <si>
    <t>我们针对向您这种的优质客户专门申请了前三月1元包含15GB的抖音/快手定向流量包，第四个月恢复原价9元/月，您可以先体验几个月，如您感觉产品不错您就继续使用，如您不想使用了可以随时联系我帮您办理，您看您是体验抖音包还是快手包啊？</t>
  </si>
  <si>
    <t>快手包吧，一般看快手看的比较多</t>
  </si>
  <si>
    <t>我们针对向您这种的优质客户专门申请了前三月1元包含30GB的抖音/快手定向流量包，第四个月恢复原价19元/月，您可以先体验几个月，如您感觉产品不错您就继续使用，如您不想使用了可以随时联系我帮您办理，您看您是体验抖音包还是快手包啊？</t>
  </si>
  <si>
    <t>您一般是看抖音多还是快手多呢？我们推出了前三月1元包含30GB的抖音或者快手的定向流量包，第四个月恢复原价19元/月，您看需要为您办理吗？</t>
  </si>
  <si>
    <t>我们这个定向流量特惠包真的是很优惠呢，尤其咱们现在免不了刷刷抖音快手，前3个月才1元，合计每GB才3分钱，这么优惠的流量包现在可少了</t>
  </si>
  <si>
    <t>我们针对优质客户推出了一个流量年包活动，每月不到13元，1年内能有240GB的流量，其中还有15G的通用流量，剩余的225G可随意刷抖音和快手。</t>
  </si>
  <si>
    <t>好的，那你给我办理吧</t>
  </si>
  <si>
    <t>我们现在推出了一个流量年包活动，150元包含240GB的流量，其中15G的通用流量，剩余的225G为抖音、快手定向流量。</t>
  </si>
  <si>
    <t>您看现在的抖音、快手流量包是19元/月30GB的流量，而且只能选择一个APP使用，如果您两个APP都想使用，需要开通两个产品包，这样算下来就需要花费38元/月了，咱们的这个产品包抖音和快手可以同时使用的，是不是划算多了。</t>
  </si>
  <si>
    <t>您看现在的抖音、快手流量包是19元/月30GB的流量，一年就需要228元了</t>
  </si>
  <si>
    <t>确实挺贵</t>
  </si>
  <si>
    <t>这样一算挺优惠吧，那我现在帮您订购一下吧？</t>
  </si>
  <si>
    <t>我们针对优质客户推出了一个流量年包活动，每月不到17元，1年内能有360GB的流量，其中还有20G的通用流量，剩余的340G可随意刷抖音和快手，</t>
  </si>
  <si>
    <t>我们现在推出了一个流量年包活动，200元包含360GB的流量，其中20G的通用流量，剩余的340G为抖音、快手定向流量。</t>
  </si>
  <si>
    <t>我们针对农村客户推出了一个特别优惠的活动，根据您每月消费金额，可以办理一个3元20GB的区域流量包。</t>
  </si>
  <si>
    <t>挺多流量呀</t>
  </si>
  <si>
    <t>根据您的消费，您套餐升档就可以参加3元20GB 的区域流量活动。</t>
  </si>
  <si>
    <t>这个只针对目标客户开展呢，均下来每GB才1毛5，特别优惠了呢。</t>
  </si>
  <si>
    <t>这个流量包确实比较优惠的，而且只针对农村客户办理</t>
  </si>
  <si>
    <t>我们针对农村客户推出了一个特别优惠的活动，您现在每月消费40元左右，套餐有12GB的流量，现在每月仅需39元就能有42GB流量，比您之前多30GB流量。</t>
  </si>
  <si>
    <t>我们现在推出了一个每月39元，有42GB流量，和200分钟的套餐。</t>
  </si>
  <si>
    <t>这个只针对目标客户开展呢，算下来流量比您原来的套餐多了不少，现在可以放放心心的刷视频上网了</t>
  </si>
  <si>
    <t>这个流量包确实比较优惠的，而且只针对目标客户办理</t>
  </si>
  <si>
    <t>我们针对农村客户推出了一个特别优惠的活动，您现在每月消费60元左右，套餐有20GB的流量，现在每月仅需59元就能有70GB流量，比您之前多50GB流量。</t>
  </si>
  <si>
    <t>我们现在推出了一个每月59元，有70GB流量，和200分钟的套餐。</t>
  </si>
  <si>
    <t>我们针对农村客户推出了一个特别优惠的活动，您现在每月消费80元左右，套餐有20GB的流量，现在每月仅需80元就能有90GB流量，比您之前多70GB流量。</t>
  </si>
  <si>
    <t>我们现在推出了一个每月80元，有90GB流量，和200分钟的套餐。</t>
  </si>
  <si>
    <t>根据您最近的消费情况，中国移动特为您申请到优惠政策，无需变更套餐，每月仅需29元，即可在套餐外多享受40GB流量，其中20GB全国流量和20GB鄂尔多斯流量；还有200分钟语音通话并且还会赠送您权益超市会员和咪咕视频会员还有10GB的咪咕视频定向流量。</t>
  </si>
  <si>
    <t>作为移动的老用户，现为您申请了一个政策，每月40GB流量，其中20GB为鄂尔多斯本地流量，同时赠送您200分钟语音和权益超市会员和咪咕视频会员与流量。办理该活动，您无需变更套餐，每个月仅29元。</t>
  </si>
  <si>
    <t>您要不可以先办理一个月试试看，一月后如果不满意您再联系我更改，因为这个政策内包含的流量语音是比正常套餐要优惠的多的。</t>
  </si>
  <si>
    <t>我们查询到您现在套餐内的资源较少，使用过程中容易有超套行为，您订购这个政策后，每月仅需多花费29元钱，享受到的内容是要比所有套餐内的都合适的，您不妨把你后试试，如果合适您也可以办他网的资费下调一些，这样算下来可能还会少花点钱。</t>
  </si>
  <si>
    <t>好的，那我现在为您办理，办理后立即生效，有效期12个月，到期后我们会联系您看是否需要继续续约办理。</t>
  </si>
  <si>
    <t>根据您最近的消费情况，中国移动特为您申请到优惠政策，无需变更套餐，每月仅需39元，即可在套餐外多享受100GB流量，其中30GB全国流量和70GB鄂尔多斯流量；还有600分钟语音通话并且还赠送您权益超市会员和咪咕视频会员还有10GB的咪咕视频定向流量。</t>
  </si>
  <si>
    <t>作为移动的老用户，现为您申请了一个优惠政策，每月100GB流量，其中70GB为鄂尔多斯本地流量，同时赠送您600分钟语音和权益超市会员和咪咕视频会员与流量。办理该活动，您无需变更套餐，每个月仅39元。</t>
  </si>
  <si>
    <t>我们查询到您现在套餐内的资源较少，使用过程中容易有超套行为，您订购这个政策后，每月仅需多花费39元钱，享受到的内容是要比所有套餐内的都合适的，您不妨把你后试试，如果合适您也可以办他网的资费下调一些，这样算下来可能还会少花点钱。</t>
  </si>
  <si>
    <t>视频彩铃支持个性化DIY制作，可根据自己的喜好个性化设置，个性化制作视频。还有一个功能是可以实现视频里的人物AI换脸。根据相关法律、法规及用户协议规定，个性化上传的视频内容需要按照要求严格审核，通过后可以成功设置彩铃。</t>
  </si>
  <si>
    <t>中国移动推出的视频彩铃，订购后，当别人给你打电话时，可以观看一段您设置的视频，每月6月，可以在咪咕音乐APP彩铃专区下载设置，热门精品视频可以做自己的手机彩铃，不限下载次数，让个性看的见。也可以使用自己的照片，DIY制作个性化的手机彩铃。</t>
  </si>
  <si>
    <t>中国移动推出视频彩铃业务是可观看的有声音有画面的短视频内容，而音频彩铃，只能挺到声音，看不到图像。</t>
  </si>
  <si>
    <t>是的</t>
  </si>
  <si>
    <t>视频彩铃支持个性化DIY制作，制作流程很简单，只要选择好照片，套用免费的炫酷模板，合成后一条精致的短视频就做好了，很有成就感，可以设置指定的彩铃可见人员，记录分享生活的幸福，感动的瞬间。每月只要5元，还包含1GB通用流量。还您可以亲自体验感受下，我帮您下载咪咕音乐APP就可以开始制作了。</t>
  </si>
  <si>
    <t>视频彩铃设置及制作流程都很简单，只要选择好照片，套用免费的AI创作模板，轻松实现人物AI换脸，很好玩。记录分享生活的幸福，感动的瞬间，设置指定的彩铃可见人员。每月只要3元，您可以亲自体验感受下，我帮您下载咪咕音乐APP就可以开始制作了。</t>
  </si>
  <si>
    <t>中国移动推出的视频彩铃不仅可以自己定制个性化的彩铃内容，并且可指定彩铃可见人员。而且也可以为宣传企业文化及活动，省去单位大额的广告投入，降本增效。</t>
  </si>
  <si>
    <t>这个是我们针对十大行业制作好的彩铃内容模板，主要有党政机关服务类、文旅类、教育、餐饮、健身、医药行业、快递行业、个体工商户等服务类的彩铃。可以免费提供给客户使用，也可以根据咱们个性化的需求免费制作，满足个性化宣传需求。</t>
  </si>
  <si>
    <t>咱们这次免费制作彩铃的活动力度挺大的，我们有专业制作短视频的团队帮您免费制作，也省去了您花钱找广告公司制作的成本费用，而且也不用签订各种合同，短期长期使用都很灵活，您单位某个月有活动需要宣传预热下，咱们就用一个月，关键是投入的成本少。你看就是这种效果（出示行业彩铃模板演示），您可以先开通体验下，可以吗？</t>
  </si>
  <si>
    <t>只要咱们公司内部员工开通视频彩铃功能业务，由移动公司为您免费制作短视频，免费承载到咱们官方的咪咕音乐APP上，设置成功后，客户给您单位员工打电话的时候，客户就能看到单位宣传内容，简单实现线上宣传。你看就是这种效果（出示行业彩铃模板演示），可以为您简单介绍下可以吗？</t>
  </si>
  <si>
    <t>中国移动云盘是一款非常便捷的办公软件，可以帮助我们提高工作效率，比如公司开会要出会议纪要可以使用语音笔记速转文字功能；下班不用带电脑，使用同步盘手机上也能下载转发文件。组建共享群组，高效收发共享文件等等非常实用。还有就是PDF文档格式互转。其实中国移动网盘一点都不贵，功能这么强大，白银会员10元/月，每天只花3毛钱，就能解决工作中很多琐碎的事情。</t>
  </si>
  <si>
    <t>好的，确实厅实用的</t>
  </si>
  <si>
    <t>中国移动云盘的存储空间特别大，有5TB。白银会员包含个人空间3TB+家庭空间2TB。家庭成员也可以随时随地分享照片、视频、文件到云盘。您不用担心手机空间不够用删掉宝贵的照片了。白银会员10元/月，其实中国移动网盘一点都不贵，相当于您手机自带的网盘一天才花3毛钱。</t>
  </si>
  <si>
    <t>从安全性来看，和同类型网盘软件对比，中国移动云盘目前市面上安全性最高的存储软件。价格方面：咱们白银会员年包产品每年120元，价格是很亲民的，和同类型其他网盘比较一年要298元。</t>
  </si>
  <si>
    <t>嗯，挺好的，我用的是别的网盘</t>
  </si>
  <si>
    <t>现在信息安全这么重要，咱们工作中的重要文件、资料都可以储存、备份在中国移动云盘上，和同类型网盘软件对比中国移动云盘目前市面上安全性最高的存储软件。</t>
  </si>
  <si>
    <t>嗯，数据安全性很重要。</t>
  </si>
  <si>
    <t>现在大家都比较关注信息安全了，都不希望自己的信息被泄露。目前很多客户反映自己用的云空间比较贵，非会员下载速率超级慢，卡顿现象。您有使用云空间的习惯吗？咱们工作中的重要文件、资料都可以储存、备份在中国移动云盘上，永不丢失。如果出差或者不在单位的时候，领导或者同事着急要文件，单位电脑转文件超级不方便的。中国移动云盘可以帮您实现电脑文件同步到手机上，上传下载文件都不限速，还免流不占用您套餐流量，随时随地查看转发文件给领导，不耽误工作。我帮您演示下，价格亲民，每天只要3毛，您也可以亲自体验感受下，可以吗？</t>
  </si>
  <si>
    <t>好的，帮我开通了</t>
  </si>
  <si>
    <t>咱们平时工作中在微信上的文件、图片、大视频经常占用手机空间，手机存储总是不够用，您看中国移动云盘APP上可以设置文件一键备份功能，轻松帮您释放手机空间。更重要的是咱们数据安全性高呀，最近中国移动云盘APP上还有个活动，每周都可以免费领取1GB通用流量，顺便告诉你在哪里领，您可以领取下。您扫一下这个二维码，我来帮您设置好自动备份，这样你就不用手动一个个存照片了！</t>
  </si>
  <si>
    <t>我们公司现在有个优惠产品每月1.9元，可享受部分超市购物95折起，餐饮甜品等优惠75折起优惠权益，订购后可立即回本。</t>
  </si>
  <si>
    <t>我们移动公司有一款权益会员，每月仅需1.9元，您是否可以了解一下？</t>
  </si>
  <si>
    <t>先不用了，谢谢</t>
  </si>
  <si>
    <t>黑卡会员和咱们鄂尔多斯的吃货热榜相比较，吃货热榜的商户较多，我们的权益商户较少，但是我们的商户比较集中，优惠力度大于吃货热榜的优惠力度，例如：吃货热榜会员在乐和小厨的优惠折扣是9.1折，我们黑卡会员的优惠折扣是8.7折。</t>
  </si>
  <si>
    <t>咱们黑卡会员您在商超还有指定餐饮消费的时候是可以享受打折优惠的，并且每个月才1.9元。</t>
  </si>
  <si>
    <t>那我现在为您办理，办理后立即生效。</t>
  </si>
  <si>
    <t>生态随心选会员5元</t>
  </si>
  <si>
    <t>我们推出一款特别合适的产品，您方便了解一下吗? 包含黑卡会员、3元超市优惠券，还有2GB流量。</t>
  </si>
  <si>
    <t>我再等等办理吧，我应该用不到这么高套餐</t>
  </si>
  <si>
    <t>我们的随心选产品包含权益较丰富，可享受黑卡会员、加油、电费、互联网流量等多种权益。</t>
  </si>
  <si>
    <t>您在使用移动业务的过程中遇到任何问题都可以帮您解决处理。</t>
  </si>
  <si>
    <t>这是我的名片，你们这的客流量还挺大的，生意不错呀，你们店是不是搞活动呢?您也可以和我们联合做活动。</t>
  </si>
  <si>
    <t>好的，让我们考虑考虑</t>
  </si>
  <si>
    <t>生态随心选会员10元</t>
  </si>
  <si>
    <t>我查了一下，为您办理后，您可享受权益超市黄金会员、黑卡会员、10元生态券（每月可领1次）、3GB通用流量+10GB定向流量多种优惠。</t>
  </si>
  <si>
    <t>需要升级套餐吗？</t>
  </si>
  <si>
    <t>现在有一档适合您的资费，每月59元即可享受80GB通用流量，300分钟通话和100条短信，比你现有资费要优惠多了，并且还会额外赠送您其他权益内容。</t>
  </si>
  <si>
    <t>哦哦，我再想想吧</t>
  </si>
  <si>
    <t>了解到您喜欢追剧，您经常喜欢通过爱奇艺、优酷、腾讯哪个APP追剧呢？</t>
  </si>
  <si>
    <t>每月仅需10元，即可享受黑卡会员、加油立减10元、交电费立减10元、10GB爱优腾等互联网流量，您看是否要办理一下？</t>
  </si>
  <si>
    <t>生态随心选会员20元</t>
  </si>
  <si>
    <t>了解到您本月多次在***店加油，请问结账过程中您是否享受了加油优惠？我查了一下，为您办理套餐后，您每月可享受20元加油优惠券（每月可领1次）。</t>
  </si>
  <si>
    <t>每月可以领一次？</t>
  </si>
  <si>
    <t>每月59元即可享受80GB通用流量，300分钟通话和100条短信，比你现有资费要优惠多了，并且还会额外赠送您初加油券以外的其他权益内容。</t>
  </si>
  <si>
    <t>您现在每月可免费享受互联网权益会员打折优惠优惠、15GB流量，会员购物结算享受打折优惠等，你看是否办理一下？</t>
  </si>
  <si>
    <t>得向您说明一下，办理订购后，每月会从您的移动话费中扣除20元，但会赠送您一张20元的超市无门槛的消费券，购物结算时，先享受会员扣，再使用消费券立减20元，您有什么疑问吗？</t>
  </si>
  <si>
    <t>中国移动特地为大学生申请到优惠政策，每月仅需39元，即可在普通套餐外多享受34GB全国流量和100条短信，还会额外赠送您咪咕三项会员权益（视频、音乐、游戏），和彩云，权益超市黄金会员。</t>
  </si>
  <si>
    <t>流量挺多的</t>
  </si>
  <si>
    <t>您现在符合我们为大学生申请的一项政策，每月仅需39元，即可在享受200分钟语音+40GB通用流量+100条短信，并且还会额外赠送您咪咕三项会员权益（视频、音乐、游戏），和彩云，权益超市黄金会员，</t>
  </si>
  <si>
    <t>哦哦</t>
  </si>
  <si>
    <t>这个活动仅针对大学生开展，您刚好符合条件可以参加，办理新入网号码的就可以使用了，比您之前的套餐要多34G的流量，你现在没有宽带使用，很容易上网导致流量超出套内流量，套外5元/G流量，容易额外收取更多费用，根据您近几月流量使用情况这个套餐就够用了，如果不需要的话后期也可以随时销户。</t>
  </si>
  <si>
    <t>挺划算的</t>
  </si>
  <si>
    <t>这个资费比您现在用的流量多34G ，还能享受咪咕的三项权益，你和家里人组个家庭网还可以免费互相通话，挺划算的。</t>
  </si>
  <si>
    <t>好的，那我现在为您办理，办理后您的资费是立即生效，活动也于立即生效，基础套餐月使用费按天折算收取，套餐内包含内容按天折算提供，按日计费进行扣费，到期后我们会再与您联系。</t>
  </si>
  <si>
    <t>中国移动特地为大学生申请到优惠政策，每月仅需59元，即可在享受80GB全国流量和100条短信、300分钟通话。并且还会额外赠送您咪咕三项会员权益（视频、音乐、游戏），和彩云，权益超市黄金会员，全国家庭网。有需要的话还能办理校园宽带。</t>
  </si>
  <si>
    <t>咱们这个资费只有新入网的大学生才能办理呢，您办理咱妈这个资费就不用担心超套产生费用了，您现在学习资料这些上传留存还可以享受一下移动云盘业务，您有需求我可以为您办理。</t>
  </si>
  <si>
    <t>还会额外赠送您咪咕三项会员权益（视频、音乐、游戏），和彩云，权益超级黄金会员，全国家庭网。套餐所含内容丰富，赠送权益多，很划算的。</t>
  </si>
  <si>
    <t>您现在购买手机终端且变更79元资费，可参加月返23元话费活动，也就是您每月花费56元即可享受到20GB流量和300分钟语音，语音和流量对比之前都有增加。</t>
  </si>
  <si>
    <t>您只要购买手机终端，可以为您申请的是79元资费，包含20GB流量，300分钟语音，并且为您申请了优惠，您办理后，每月为您返还23元话费，您每月只需花费56元。</t>
  </si>
  <si>
    <t>为您申请的政策是根据您近期消费及流量使用情况制定的，我们查询到您近期每个月流量使用都在20GB左右，消费都在50多块钱，您每个月只需多花费不到十块钱并且购买手机终端就可以享受以上优惠。</t>
  </si>
  <si>
    <t>我们查询到您近期的套内流量基本不够用，您在办理手机终端和申请的政策后，仅需多花几块钱就可以多享受20GB流量，这样您的其他卡就可以将资费便宜一些也够您用，这样算下来反而比您现在的总花费更少了。</t>
  </si>
  <si>
    <t>好的，那我现在为您办理，办理后您的资费是下周期1号生效，活动也于下周期1号生效，为您赠送的话费会在下月起每月底前直接返还到您的账户上，活动有效期24个月，到期后我们会再与您联系。</t>
  </si>
  <si>
    <t>您现在购买手机终端且变更159元资费，可参加月返47元话费活动，也就是您每月花费112元即可享受到40GB流量和700分钟语音，语音和流量对比之前都有增加。</t>
  </si>
  <si>
    <t>您只要购买手机终端，可以为您申请的是159元资费，包含40GB流量，700分钟语音，并且为您申请了优惠，您办理后，每月为您返还47元话费，您每月只需花费112元。</t>
  </si>
  <si>
    <t>为您申请的政策是根据您近期消费及流量使用情况制定的，我们查询到您近期每个月流量使用都在40GB左右，消费都在100多块钱，您每个月只需多花费不到二十块钱并且购买手机终端就可以享受以上优惠。</t>
  </si>
  <si>
    <t>我们查询到您近期的套内流量基本不够用，您在办理手机终端和申请的政策后，仅需多花几块钱就可以多享受40GB流量，这样您的其他卡就可以将资费便宜一些也够您用，这样算下来反而比您现在的总花费更少了。</t>
  </si>
  <si>
    <t>为您申请的是58元资费，包含20GB流量，300分钟语音，并且为您申请了优惠，您办理后，每月为您返还17元话费，您每月只需花费41元。</t>
  </si>
  <si>
    <t>您现在变更58元资费，可参加月返17元话费活动，优惠完您每个月41元就可以享受原本58元的内容。</t>
  </si>
  <si>
    <t>我们查询到您近期的套内流量基本不够用，您在办理了申请的政策后，仅需多花几块钱就可以多享受20GB流量，这样您的其他卡就可以将资费便宜一些也够您用，这样算下来反而比您现在的总花费更少了。</t>
  </si>
  <si>
    <t>为您申请的政策是根据您近期消费及流量使用情况制定的，我们查询到您近期每个月流量都不太够用，办理后您每个月只需多花费不到十块钱。</t>
  </si>
  <si>
    <t>为您申请的是79元资费，包含20GB流量，300分钟语音，并且为您申请了优惠，您办理后，每月为您返还23元话费，您每月只需花费56元。</t>
  </si>
  <si>
    <t>您现在变更79元资费，可参加月返23元话费活动，优惠完您每个月56元就可以享受原本79元的内容。</t>
  </si>
  <si>
    <t>为您申请的是99元资费，包含20GB流量，500分钟语音，并且为您申请了优惠，您办理后，每月为您返还29元话费，您每月只需花费70元。</t>
  </si>
  <si>
    <t>您现在变更99元资费，可参加月返26元话费活动，优惠完您每个月73元就可以享受原本99元的内容。</t>
  </si>
  <si>
    <t>为您申请的是129元资费，包含30GB流量，500分钟语音，并且为您申请了优惠，您办理后，每月为您返还38元话费，您每月只需花费91元。</t>
  </si>
  <si>
    <t>您现在变更129元资费，可参加月返38元话费活动，优惠完您每个月91元就可以享受原本129元的内容。</t>
  </si>
  <si>
    <t>我们查询到您近期的套内流量基本不够用，您在办理了申请的政策后，仅需多花几块钱就可以多享受30GB流量，这样您的其他卡就可以将资费便宜一些也够您用，这样算下来反而比您现在的总花费更少了。</t>
  </si>
  <si>
    <t>为您申请的是159元资费，包含40GB流量，700分钟语音，并且为您申请了优惠，您办理后，每月为您返还47元话费，您每月只需花费112元。</t>
  </si>
  <si>
    <t>您现在变更159元资费，可参加月返47元话费活动，优惠完您每个月112元就可以享受原本159元的内容。</t>
  </si>
  <si>
    <t>我们查询到您近期的套内流量基本不够用，您在办理了申请的政策后，仅需多花几块钱就可以多享受40GB流量，这样您的其他卡就可以将资费便宜一些也够您用，这样算下来反而比您现在的总花费更少了。</t>
  </si>
  <si>
    <t>您之前办理的资费打折活动已经到期，现在为您继续申请打折优惠活动，99元资费包含20GB流量，500分钟语音，您每月只需花费69.3元。</t>
  </si>
  <si>
    <t>不办了，我以后应该用不到这么高套餐了</t>
  </si>
  <si>
    <t>您现在继续办理99元资费打七折活动，也就是您每月花费69.3元即可享受到20GB流量和500分钟语音，和您之前的套餐优惠的是一样的。</t>
  </si>
  <si>
    <t>您现在办理的这种套餐打七折优惠活动，只针对之前办理过该活动的用户进行续约。</t>
  </si>
  <si>
    <t>好吧，那就继续给我续上吧</t>
  </si>
  <si>
    <t>现在只有到期用户才可以办理这种套餐打七折优惠活动</t>
  </si>
  <si>
    <t>好的，那就继续给您续上了，活动下月1号生效，有效期2年，到期后如果还能续约，我们会继续给您打电话的。</t>
  </si>
  <si>
    <t>好的 办理吧</t>
  </si>
  <si>
    <t>您之前办理的资费打折活动已经到期，现在为您继续申请打折优惠活动，129元资费包含30GB流量，500分钟语音，您每月只需花费89.3元。</t>
  </si>
  <si>
    <t>您现在继续办理129元资费打七折活动，也就是您每月花费89.6元即可享受到30GB流量和500分钟语音，和您之前的套餐优惠的是一样的。</t>
  </si>
  <si>
    <t>您之前办理的资费打折活动已经到期，现在为您继续申请打折优惠活动，159元资费包含40GB流量，700分钟语音，您每月只需花费111.3元。。</t>
  </si>
  <si>
    <t>您现在继续办理159元资费打七折活动，也就是您每月花费111.3元即可享受到40GB流量和700分钟语音，和您之前的套餐优惠的是一样的。</t>
  </si>
  <si>
    <t>您之前办理的资费打折活动已经到期，现在为您继续申请打折优惠活动，199元资费包含60GB流量，1000分钟语音，您每月只需花费139.3元。。</t>
  </si>
  <si>
    <t>您现在继续办理199元资费打七折活动，也就是您每月花费69.3元即可享受到60GB流量和1000分钟语音，和您之前的套餐优惠的是一样的。</t>
  </si>
  <si>
    <t>您之前办理的资费打折活动已经到期，现在为您继续申请打折优惠活动，239元资费包含80GB流量，1000分钟语音，您每月只需花费167.3元。。</t>
  </si>
  <si>
    <t>您现在继续办理239元资费打七折活动，也就是您每月花费167.3元即可享受到80GB流量和1000分钟语音，和您之前的套餐优惠的是一样的。</t>
  </si>
  <si>
    <t>您之前办理的资费打折活动已经到期，现在为您继续申请打折优惠活动，299元资费包含100GB流量，1500分钟语音，您每月只需花费89.6元。。</t>
  </si>
  <si>
    <t>您现在继续办理299元资费打七折活动，也就是您每月花费209.3元即可享受到100GB流量和1500分钟语音，和您之前的套餐优惠的是一样的。</t>
  </si>
  <si>
    <t>您之前办理的资费打折活动已经到期，现在为您继续申请打折优惠活动，399元资费包含150GB流量，2000分钟语音，您每月只需花费279.3元。。</t>
  </si>
  <si>
    <t>您现在继续办理399元资费打七折活动，也就是您每月花费279.3元即可享受到150GB流量和2000分钟语音，和您之前的套餐优惠的是一样的。</t>
  </si>
  <si>
    <t>根据您的语音流量需求，每个月都会产生一点超套费用，现在有个视频卡资费很适合您，每月69元即可享受300分钟通话，20GB通用流量及15GB专属APP流量，看您平时看抖音还是看快手比较多，为您选择一下，而且还包含黑卡权益，可以在咱们当地加油、吃饭的时候有优惠呢。</t>
  </si>
  <si>
    <t>有点贵，我之前资费才50左右</t>
  </si>
  <si>
    <t>这档资费真的很适合您，每月69元即可享受20GB通用流量，300分钟通话15GB专属APP流量，您每月仅需多花20元即可办理享受。</t>
  </si>
  <si>
    <t>有点贵，专属APP是指什么？</t>
  </si>
  <si>
    <t>为您申请的政策是根据您近期消费及流量使用情况制定的，您现在每个月流量使用都在20GB左右，很容易超套，您每个月也有超套费用，流量超套之后是按照5元/GB收取的。您每个月只需多花费不到20块钱，就可以享受到这个活动。看热门视频软件的时候就不怕流量超套了。</t>
  </si>
  <si>
    <t>那行吧</t>
  </si>
  <si>
    <t>这个政策比常规政策要优惠很多，包含的资源也要比正常资费多，您也先体验一下。</t>
  </si>
  <si>
    <t>那我试试吧</t>
  </si>
  <si>
    <t>嗯嗯</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</si>
</sst>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2"/>
      <color theme="1"/>
      <name val="等线"/>
      <charset val="134"/>
      <scheme val="minor"/>
    </font>
    <font>
      <b/>
      <sz val="12"/>
      <color theme="1"/>
      <name val="等线"/>
      <charset val="134"/>
      <scheme val="minor"/>
    </font>
    <font>
      <sz val="10"/>
      <color rgb="FF000000"/>
      <name val="等线"/>
      <charset val="134"/>
    </font>
    <font>
      <sz val="11"/>
      <color rgb="FF000000"/>
      <name val="宋体"/>
      <charset val="134"/>
    </font>
    <font>
      <b/>
      <sz val="11"/>
      <color rgb="FF000000"/>
      <name val="宋体"/>
      <charset val="134"/>
    </font>
    <font>
      <sz val="10"/>
      <color rgb="FF000000"/>
      <name val="微软雅黑"/>
      <charset val="134"/>
    </font>
    <font>
      <sz val="9"/>
      <color rgb="FF000000"/>
      <name val="微软雅黑"/>
      <charset val="134"/>
    </font>
    <font>
      <sz val="12"/>
      <color rgb="FF000000"/>
      <name val="等线"/>
      <charset val="134"/>
    </font>
    <font>
      <sz val="10"/>
      <name val="等线"/>
      <charset val="134"/>
      <scheme val="minor"/>
    </font>
    <font>
      <sz val="10"/>
      <color rgb="FFEA3324"/>
      <name val="等线"/>
      <charset val="134"/>
    </font>
    <font>
      <b/>
      <sz val="10"/>
      <color rgb="FF000000"/>
      <name val="微软雅黑"/>
      <charset val="134"/>
    </font>
    <font>
      <b/>
      <sz val="12"/>
      <color rgb="FF000000"/>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theme="0" tint="-0.25"/>
        <bgColor indexed="64"/>
      </patternFill>
    </fill>
    <fill>
      <patternFill patternType="solid">
        <fgColor theme="0" tint="-0.25"/>
        <bgColor indexed="64"/>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6" borderId="7"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0" fillId="0" borderId="0" applyNumberFormat="0" applyFill="0" applyBorder="0" applyAlignment="0" applyProtection="0">
      <alignment vertical="center"/>
    </xf>
    <xf numFmtId="0" fontId="21" fillId="7" borderId="10" applyNumberFormat="0" applyAlignment="0" applyProtection="0">
      <alignment vertical="center"/>
    </xf>
    <xf numFmtId="0" fontId="22" fillId="8" borderId="11" applyNumberFormat="0" applyAlignment="0" applyProtection="0">
      <alignment vertical="center"/>
    </xf>
    <xf numFmtId="0" fontId="23" fillId="8" borderId="10" applyNumberFormat="0" applyAlignment="0" applyProtection="0">
      <alignment vertical="center"/>
    </xf>
    <xf numFmtId="0" fontId="24" fillId="9" borderId="12" applyNumberFormat="0" applyAlignment="0" applyProtection="0">
      <alignment vertical="center"/>
    </xf>
    <xf numFmtId="0" fontId="25" fillId="0" borderId="13" applyNumberFormat="0" applyFill="0" applyAlignment="0" applyProtection="0">
      <alignment vertical="center"/>
    </xf>
    <xf numFmtId="0" fontId="26" fillId="0" borderId="14"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cellStyleXfs>
  <cellXfs count="60">
    <xf numFmtId="0" fontId="0" fillId="0" borderId="0" xfId="0">
      <alignment vertical="center"/>
    </xf>
    <xf numFmtId="0" fontId="1" fillId="2" borderId="0" xfId="0" applyFont="1" applyFill="1" applyAlignment="1">
      <alignment horizontal="center"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lignment vertical="center"/>
    </xf>
    <xf numFmtId="0" fontId="3" fillId="0" borderId="0" xfId="0" applyFont="1" applyAlignment="1">
      <alignment vertical="center" wrapText="1"/>
    </xf>
    <xf numFmtId="0" fontId="4" fillId="2" borderId="1" xfId="0" applyFont="1" applyFill="1" applyBorder="1" applyAlignment="1" applyProtection="1">
      <alignment horizontal="center" vertical="center" wrapText="1"/>
    </xf>
    <xf numFmtId="0" fontId="3" fillId="0" borderId="1" xfId="0" applyFont="1" applyFill="1" applyBorder="1" applyAlignment="1" applyProtection="1">
      <alignment horizontal="center" vertical="center" wrapText="1"/>
    </xf>
    <xf numFmtId="0" fontId="2" fillId="0" borderId="1" xfId="0" applyFont="1" applyFill="1" applyBorder="1" applyAlignment="1" applyProtection="1">
      <alignment horizontal="center" vertical="center" wrapText="1"/>
    </xf>
    <xf numFmtId="0" fontId="3" fillId="0" borderId="2" xfId="0" applyFont="1" applyFill="1" applyBorder="1" applyAlignment="1" applyProtection="1">
      <alignment horizontal="center" vertical="center" wrapText="1"/>
    </xf>
    <xf numFmtId="0" fontId="3" fillId="0" borderId="0" xfId="0" applyFont="1" applyFill="1" applyAlignment="1">
      <alignment horizontal="center" vertical="center" wrapText="1"/>
    </xf>
    <xf numFmtId="0" fontId="5" fillId="0" borderId="3" xfId="0" applyFont="1" applyFill="1" applyBorder="1" applyAlignment="1" applyProtection="1">
      <alignment horizontal="center" vertical="center" wrapText="1"/>
    </xf>
    <xf numFmtId="0" fontId="3" fillId="0" borderId="4" xfId="0" applyFont="1" applyFill="1" applyBorder="1" applyAlignment="1" applyProtection="1">
      <alignment horizontal="center" vertical="center" wrapText="1"/>
    </xf>
    <xf numFmtId="0" fontId="3" fillId="0" borderId="3" xfId="0" applyFont="1" applyFill="1" applyBorder="1" applyAlignment="1" applyProtection="1">
      <alignment horizontal="center" vertical="center" wrapText="1"/>
    </xf>
    <xf numFmtId="0" fontId="6" fillId="0" borderId="1" xfId="0" applyFont="1" applyFill="1" applyBorder="1" applyAlignment="1" applyProtection="1">
      <alignment horizontal="center" vertical="center" wrapText="1"/>
    </xf>
    <xf numFmtId="0" fontId="2" fillId="0" borderId="2" xfId="0" applyFont="1" applyFill="1" applyBorder="1" applyAlignment="1" applyProtection="1">
      <alignment horizontal="center" vertical="center" wrapText="1"/>
    </xf>
    <xf numFmtId="0" fontId="1" fillId="2" borderId="0" xfId="0" applyFont="1" applyFill="1">
      <alignment vertical="center"/>
    </xf>
    <xf numFmtId="0" fontId="0" fillId="0" borderId="0" xfId="0" applyFill="1">
      <alignment vertical="center"/>
    </xf>
    <xf numFmtId="0" fontId="7" fillId="0" borderId="0" xfId="0" applyFont="1" applyFill="1" applyAlignment="1">
      <alignment vertical="center"/>
    </xf>
    <xf numFmtId="0" fontId="4" fillId="2" borderId="1" xfId="0" applyFont="1" applyFill="1" applyBorder="1" applyAlignment="1" applyProtection="1">
      <alignment horizontal="center" vertical="center"/>
    </xf>
    <xf numFmtId="0" fontId="4" fillId="2" borderId="5" xfId="0" applyFont="1" applyFill="1" applyBorder="1" applyAlignment="1" applyProtection="1">
      <alignment horizontal="center" vertical="center" wrapText="1"/>
    </xf>
    <xf numFmtId="0" fontId="3" fillId="0" borderId="1" xfId="0" applyFont="1" applyFill="1" applyBorder="1" applyAlignment="1" applyProtection="1">
      <alignment horizontal="center" vertical="center"/>
    </xf>
    <xf numFmtId="0" fontId="5" fillId="0" borderId="1" xfId="0" applyFont="1" applyFill="1" applyBorder="1" applyAlignment="1" applyProtection="1">
      <alignment horizontal="center" vertical="center" wrapText="1"/>
    </xf>
    <xf numFmtId="0" fontId="8" fillId="0" borderId="1" xfId="0" applyFont="1" applyFill="1" applyBorder="1" applyProtection="1">
      <alignment vertical="center"/>
    </xf>
    <xf numFmtId="0" fontId="3" fillId="0" borderId="4" xfId="0" applyFont="1" applyFill="1" applyBorder="1" applyAlignment="1" applyProtection="1">
      <alignment horizontal="center" vertical="center"/>
    </xf>
    <xf numFmtId="0" fontId="3" fillId="3" borderId="1" xfId="0" applyFont="1" applyFill="1" applyBorder="1" applyAlignment="1" applyProtection="1">
      <alignment horizontal="center" vertical="center" wrapText="1"/>
    </xf>
    <xf numFmtId="0" fontId="3"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wrapText="1"/>
    </xf>
    <xf numFmtId="0" fontId="3" fillId="0" borderId="2" xfId="0" applyFont="1" applyFill="1" applyBorder="1" applyAlignment="1" applyProtection="1">
      <alignment horizontal="center" vertical="center" wrapText="1"/>
    </xf>
    <xf numFmtId="0" fontId="3" fillId="4" borderId="1" xfId="0" applyFont="1" applyFill="1" applyBorder="1" applyAlignment="1" applyProtection="1">
      <alignment horizontal="center" vertical="center" wrapText="1"/>
    </xf>
    <xf numFmtId="0" fontId="3" fillId="0" borderId="3" xfId="0" applyFont="1" applyFill="1" applyBorder="1" applyAlignment="1" applyProtection="1">
      <alignment horizontal="center" vertical="center"/>
    </xf>
    <xf numFmtId="0" fontId="4" fillId="2" borderId="0" xfId="0" applyFont="1" applyFill="1" applyAlignment="1">
      <alignment horizontal="center" vertical="center"/>
    </xf>
    <xf numFmtId="0" fontId="3" fillId="0" borderId="0" xfId="0" applyFont="1" applyAlignment="1">
      <alignment horizontal="center" vertical="center"/>
    </xf>
    <xf numFmtId="0" fontId="9" fillId="0" borderId="0" xfId="0" applyFont="1">
      <alignment vertical="center"/>
    </xf>
    <xf numFmtId="0" fontId="7" fillId="0" borderId="0" xfId="0" applyFont="1">
      <alignment vertical="center"/>
    </xf>
    <xf numFmtId="0" fontId="10" fillId="2" borderId="2" xfId="0" applyFont="1" applyFill="1" applyBorder="1" applyAlignment="1" applyProtection="1">
      <alignment horizontal="center" vertical="center"/>
    </xf>
    <xf numFmtId="0" fontId="10" fillId="2" borderId="2" xfId="0" applyFont="1" applyFill="1" applyBorder="1" applyAlignment="1" applyProtection="1">
      <alignment horizontal="center" vertical="center" wrapText="1"/>
    </xf>
    <xf numFmtId="0" fontId="10" fillId="2" borderId="1" xfId="0" applyFont="1" applyFill="1" applyBorder="1" applyAlignment="1" applyProtection="1">
      <alignment horizontal="center" vertical="center"/>
    </xf>
    <xf numFmtId="0" fontId="5" fillId="0" borderId="1" xfId="0" applyFont="1" applyFill="1" applyBorder="1" applyAlignment="1" applyProtection="1">
      <alignment horizontal="center" vertical="center"/>
    </xf>
    <xf numFmtId="0" fontId="3" fillId="0" borderId="0" xfId="0" applyFont="1" applyFill="1" applyAlignment="1">
      <alignment horizontal="center" vertical="center"/>
    </xf>
    <xf numFmtId="0" fontId="3" fillId="0" borderId="6" xfId="0" applyFont="1" applyFill="1" applyBorder="1" applyAlignment="1" applyProtection="1">
      <alignment horizontal="center" vertical="center" wrapText="1"/>
    </xf>
    <xf numFmtId="0" fontId="5" fillId="0" borderId="3" xfId="0" applyFont="1" applyFill="1" applyBorder="1" applyAlignment="1" applyProtection="1">
      <alignment horizontal="center" vertical="center"/>
    </xf>
    <xf numFmtId="0" fontId="5" fillId="0" borderId="4" xfId="0" applyFont="1" applyFill="1" applyBorder="1" applyAlignment="1" applyProtection="1">
      <alignment horizontal="center" vertical="center"/>
    </xf>
    <xf numFmtId="0" fontId="2" fillId="0" borderId="0" xfId="0" applyFont="1">
      <alignment vertical="center"/>
    </xf>
    <xf numFmtId="0" fontId="3" fillId="0" borderId="1" xfId="0" applyFont="1" applyFill="1" applyBorder="1" applyAlignment="1" applyProtection="1">
      <alignment horizontal="left" vertical="center" wrapText="1"/>
    </xf>
    <xf numFmtId="0" fontId="3" fillId="0" borderId="1" xfId="0" applyFont="1" applyFill="1" applyBorder="1" applyProtection="1">
      <alignment vertical="center"/>
    </xf>
    <xf numFmtId="0" fontId="2" fillId="0" borderId="1" xfId="0" applyFont="1" applyFill="1" applyBorder="1" applyProtection="1">
      <alignment vertical="center"/>
    </xf>
    <xf numFmtId="0" fontId="3" fillId="0" borderId="1" xfId="0" applyFont="1" applyFill="1" applyBorder="1" applyAlignment="1" applyProtection="1">
      <alignment vertical="center" wrapText="1"/>
    </xf>
    <xf numFmtId="0" fontId="11" fillId="2" borderId="0" xfId="0" applyFont="1" applyFill="1" applyAlignment="1">
      <alignment horizontal="center" vertical="center"/>
    </xf>
    <xf numFmtId="0" fontId="3" fillId="0" borderId="0" xfId="0" applyFont="1" applyAlignment="1">
      <alignment horizontal="left" vertical="center" wrapText="1"/>
    </xf>
    <xf numFmtId="0" fontId="10" fillId="2" borderId="1" xfId="0" applyFont="1" applyFill="1" applyBorder="1" applyAlignment="1" applyProtection="1">
      <alignment horizontal="center" vertical="center" wrapText="1"/>
    </xf>
    <xf numFmtId="0" fontId="5" fillId="0" borderId="1" xfId="0" applyFont="1" applyFill="1" applyBorder="1" applyAlignment="1" applyProtection="1">
      <alignment horizontal="left" vertical="center" wrapText="1"/>
    </xf>
    <xf numFmtId="0" fontId="3" fillId="0" borderId="0" xfId="0" applyFont="1" applyFill="1">
      <alignment vertical="center"/>
    </xf>
    <xf numFmtId="0" fontId="3" fillId="5" borderId="0" xfId="0" applyFont="1" applyFill="1">
      <alignment vertical="center"/>
    </xf>
    <xf numFmtId="0" fontId="10" fillId="0" borderId="1" xfId="0" applyFont="1" applyFill="1" applyBorder="1" applyAlignment="1" applyProtection="1">
      <alignment horizontal="center" vertical="center" wrapText="1"/>
    </xf>
    <xf numFmtId="0" fontId="5" fillId="0" borderId="2" xfId="0" applyFont="1" applyFill="1" applyBorder="1" applyAlignment="1" applyProtection="1">
      <alignment horizontal="center" vertical="center"/>
    </xf>
    <xf numFmtId="0" fontId="5" fillId="0" borderId="2" xfId="0" applyFont="1" applyFill="1" applyBorder="1" applyAlignment="1" applyProtection="1">
      <alignment horizontal="left" vertical="center" wrapText="1"/>
    </xf>
    <xf numFmtId="0" fontId="3" fillId="0" borderId="1" xfId="0" applyFont="1" applyFill="1" applyBorder="1" applyAlignment="1" applyProtection="1">
      <alignment horizontal="left" vertical="center"/>
    </xf>
    <xf numFmtId="0" fontId="7" fillId="0"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010;&#23458;&#24066;&#22330;&#28216;&#25103;&#30456;&#20851;&#20869;&#23481;-08082-&#2591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场景名称库"/>
      <sheetName val="客户画像库"/>
      <sheetName val="触点库"/>
      <sheetName val="产品类型库"/>
      <sheetName val="产品库"/>
      <sheetName val="问候对话池"/>
      <sheetName val="关怀对话池"/>
      <sheetName val="销售对话池"/>
    </sheetNames>
    <sheetDataSet>
      <sheetData sheetId="0">
        <row r="2">
          <cell r="D2" t="str">
            <v>流量激发</v>
          </cell>
        </row>
        <row r="3">
          <cell r="D3" t="str">
            <v>新业务</v>
          </cell>
        </row>
        <row r="4">
          <cell r="D4" t="str">
            <v>新入网场景</v>
          </cell>
        </row>
        <row r="6">
          <cell r="D6" t="str">
            <v>终端换机客户</v>
          </cell>
        </row>
        <row r="7">
          <cell r="D7" t="str">
            <v>流量运营</v>
          </cell>
        </row>
        <row r="8">
          <cell r="D8" t="str">
            <v>到期续约</v>
          </cell>
        </row>
        <row r="9">
          <cell r="D9" t="str">
            <v>重点客户赢回场景</v>
          </cell>
        </row>
        <row r="10">
          <cell r="D10" t="str">
            <v>农村场景</v>
          </cell>
        </row>
        <row r="11">
          <cell r="D11" t="str">
            <v>潜在流失场景</v>
          </cell>
        </row>
        <row r="12">
          <cell r="D12" t="str">
            <v>年轻人场景</v>
          </cell>
        </row>
        <row r="13">
          <cell r="D13" t="str">
            <v>终端高饱和场景</v>
          </cell>
        </row>
        <row r="14">
          <cell r="D14" t="str">
            <v>套餐适配运营</v>
          </cell>
        </row>
        <row r="15">
          <cell r="D15" t="str">
            <v>校园场景</v>
          </cell>
        </row>
        <row r="16">
          <cell r="D16" t="str">
            <v>异网主卡赢回场景</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5"/>
  <sheetViews>
    <sheetView workbookViewId="0">
      <selection activeCell="C37" sqref="C37"/>
    </sheetView>
  </sheetViews>
  <sheetFormatPr defaultColWidth="8.66666666666667" defaultRowHeight="15.6" customHeight="1" outlineLevelCol="2"/>
  <cols>
    <col min="1" max="1" width="5.33333333333333" style="59" customWidth="1"/>
    <col min="2" max="2" width="9.33333333333333" style="59" customWidth="1"/>
    <col min="3" max="3" width="17.6666666666667" style="59" customWidth="1"/>
    <col min="4" max="16384" width="8.66666666666667" style="18"/>
  </cols>
  <sheetData>
    <row r="1" s="17" customFormat="1" customHeight="1" spans="1:3">
      <c r="A1" s="20" t="s">
        <v>0</v>
      </c>
      <c r="B1" s="20" t="s">
        <v>1</v>
      </c>
      <c r="C1" s="20" t="s">
        <v>2</v>
      </c>
    </row>
    <row r="2" customHeight="1" spans="1:3">
      <c r="A2" s="22">
        <v>1</v>
      </c>
      <c r="B2" s="22" t="s">
        <v>3</v>
      </c>
      <c r="C2" s="22" t="s">
        <v>4</v>
      </c>
    </row>
    <row r="3" customHeight="1" spans="1:3">
      <c r="A3" s="22">
        <v>2</v>
      </c>
      <c r="B3" s="22" t="s">
        <v>3</v>
      </c>
      <c r="C3" s="22" t="s">
        <v>5</v>
      </c>
    </row>
    <row r="4" customHeight="1" spans="1:3">
      <c r="A4" s="22">
        <v>3</v>
      </c>
      <c r="B4" s="22" t="s">
        <v>3</v>
      </c>
      <c r="C4" s="22" t="s">
        <v>6</v>
      </c>
    </row>
    <row r="5" customHeight="1" spans="1:3">
      <c r="A5" s="22">
        <v>4</v>
      </c>
      <c r="B5" s="22" t="s">
        <v>3</v>
      </c>
      <c r="C5" s="22" t="s">
        <v>7</v>
      </c>
    </row>
    <row r="6" customHeight="1" spans="1:3">
      <c r="A6" s="22">
        <v>5</v>
      </c>
      <c r="B6" s="22" t="s">
        <v>8</v>
      </c>
      <c r="C6" s="22" t="s">
        <v>8</v>
      </c>
    </row>
    <row r="7" customHeight="1" spans="1:3">
      <c r="A7" s="22">
        <v>6</v>
      </c>
      <c r="B7" s="22" t="s">
        <v>9</v>
      </c>
      <c r="C7" s="22" t="s">
        <v>10</v>
      </c>
    </row>
    <row r="8" customHeight="1" spans="1:3">
      <c r="A8" s="22">
        <v>7</v>
      </c>
      <c r="B8" s="22" t="s">
        <v>9</v>
      </c>
      <c r="C8" s="22" t="s">
        <v>11</v>
      </c>
    </row>
    <row r="9" customHeight="1" spans="1:3">
      <c r="A9" s="22">
        <v>8</v>
      </c>
      <c r="B9" s="22" t="s">
        <v>12</v>
      </c>
      <c r="C9" s="22" t="s">
        <v>13</v>
      </c>
    </row>
    <row r="10" customHeight="1" spans="1:3">
      <c r="A10" s="22">
        <v>9</v>
      </c>
      <c r="B10" s="22" t="s">
        <v>12</v>
      </c>
      <c r="C10" s="22" t="s">
        <v>14</v>
      </c>
    </row>
    <row r="11" customHeight="1" spans="1:3">
      <c r="A11" s="22">
        <v>10</v>
      </c>
      <c r="B11" s="22" t="s">
        <v>15</v>
      </c>
      <c r="C11" s="22" t="s">
        <v>16</v>
      </c>
    </row>
    <row r="12" customHeight="1" spans="1:3">
      <c r="A12" s="22">
        <v>11</v>
      </c>
      <c r="B12" s="22" t="s">
        <v>15</v>
      </c>
      <c r="C12" s="22" t="s">
        <v>17</v>
      </c>
    </row>
    <row r="13" customHeight="1" spans="1:3">
      <c r="A13" s="22">
        <v>12</v>
      </c>
      <c r="B13" s="22" t="s">
        <v>18</v>
      </c>
      <c r="C13" s="22" t="s">
        <v>19</v>
      </c>
    </row>
    <row r="14" customHeight="1" spans="1:3">
      <c r="A14" s="22">
        <v>13</v>
      </c>
      <c r="B14" s="22" t="s">
        <v>18</v>
      </c>
      <c r="C14" s="22" t="s">
        <v>20</v>
      </c>
    </row>
    <row r="15" customHeight="1" spans="1:3">
      <c r="A15" s="22">
        <v>14</v>
      </c>
      <c r="B15" s="22" t="s">
        <v>18</v>
      </c>
      <c r="C15" s="22" t="s">
        <v>21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F70"/>
  <sheetViews>
    <sheetView workbookViewId="0">
      <selection activeCell="C26" sqref="C26"/>
    </sheetView>
  </sheetViews>
  <sheetFormatPr defaultColWidth="9" defaultRowHeight="14.4" customHeight="1" outlineLevelCol="5"/>
  <cols>
    <col min="1" max="1" width="4.83333333333333" style="5" customWidth="1"/>
    <col min="2" max="2" width="11.1666666666667" style="5" customWidth="1"/>
    <col min="3" max="3" width="37.1666666666667" style="5" customWidth="1"/>
    <col min="4" max="4" width="21.375" style="5" customWidth="1"/>
    <col min="5" max="5" width="89.125" style="50" customWidth="1"/>
    <col min="6" max="6" width="52.5" style="5" customWidth="1"/>
  </cols>
  <sheetData>
    <row r="1" s="49" customFormat="1" ht="16.5" spans="1:6">
      <c r="A1" s="38" t="s">
        <v>0</v>
      </c>
      <c r="B1" s="51" t="s">
        <v>22</v>
      </c>
      <c r="C1" s="51" t="s">
        <v>23</v>
      </c>
      <c r="D1" s="51" t="s">
        <v>24</v>
      </c>
      <c r="E1" s="51" t="s">
        <v>25</v>
      </c>
      <c r="F1" s="32"/>
    </row>
    <row r="2" ht="16.5" spans="1:6">
      <c r="A2" s="39"/>
      <c r="B2" s="39" t="s">
        <v>5</v>
      </c>
      <c r="C2" s="39" t="s">
        <v>26</v>
      </c>
      <c r="D2" s="23" t="s">
        <v>27</v>
      </c>
      <c r="E2" s="52" t="s">
        <v>28</v>
      </c>
      <c r="F2" s="53"/>
    </row>
    <row r="3" ht="16.5" spans="1:6">
      <c r="A3" s="39"/>
      <c r="B3" s="39" t="s">
        <v>5</v>
      </c>
      <c r="C3" s="39" t="s">
        <v>29</v>
      </c>
      <c r="D3" s="23" t="s">
        <v>27</v>
      </c>
      <c r="E3" s="52" t="s">
        <v>30</v>
      </c>
      <c r="F3" s="53"/>
    </row>
    <row r="4" ht="16.5" spans="1:6">
      <c r="A4" s="39"/>
      <c r="B4" s="39" t="s">
        <v>5</v>
      </c>
      <c r="C4" s="39" t="s">
        <v>31</v>
      </c>
      <c r="D4" s="23" t="s">
        <v>27</v>
      </c>
      <c r="E4" s="52" t="s">
        <v>32</v>
      </c>
      <c r="F4" s="53"/>
    </row>
    <row r="5" ht="16.5" spans="1:6">
      <c r="A5" s="39"/>
      <c r="B5" s="39" t="s">
        <v>5</v>
      </c>
      <c r="C5" s="39" t="s">
        <v>33</v>
      </c>
      <c r="D5" s="23" t="s">
        <v>27</v>
      </c>
      <c r="E5" s="52" t="s">
        <v>34</v>
      </c>
      <c r="F5" s="54" t="s">
        <v>35</v>
      </c>
    </row>
    <row r="6" ht="33" spans="1:6">
      <c r="A6" s="39"/>
      <c r="B6" s="39" t="s">
        <v>5</v>
      </c>
      <c r="C6" s="39" t="s">
        <v>36</v>
      </c>
      <c r="D6" s="23" t="s">
        <v>37</v>
      </c>
      <c r="E6" s="52" t="s">
        <v>38</v>
      </c>
      <c r="F6" s="53"/>
    </row>
    <row r="7" ht="33" spans="1:6">
      <c r="A7" s="39"/>
      <c r="B7" s="39" t="s">
        <v>5</v>
      </c>
      <c r="C7" s="39" t="s">
        <v>39</v>
      </c>
      <c r="D7" s="23" t="s">
        <v>37</v>
      </c>
      <c r="E7" s="52" t="s">
        <v>40</v>
      </c>
      <c r="F7" s="53"/>
    </row>
    <row r="8" ht="33" spans="1:6">
      <c r="A8" s="39"/>
      <c r="B8" s="39" t="s">
        <v>5</v>
      </c>
      <c r="C8" s="39" t="s">
        <v>41</v>
      </c>
      <c r="D8" s="23" t="s">
        <v>37</v>
      </c>
      <c r="E8" s="52" t="s">
        <v>42</v>
      </c>
      <c r="F8" s="53"/>
    </row>
    <row r="9" ht="16.5" spans="1:6">
      <c r="A9" s="53"/>
      <c r="B9" s="39" t="s">
        <v>5</v>
      </c>
      <c r="C9" s="39" t="s">
        <v>43</v>
      </c>
      <c r="D9" s="23" t="s">
        <v>44</v>
      </c>
      <c r="E9" s="52" t="s">
        <v>45</v>
      </c>
      <c r="F9" s="53"/>
    </row>
    <row r="10" ht="16.5" spans="1:6">
      <c r="A10" s="53"/>
      <c r="B10" s="39" t="s">
        <v>5</v>
      </c>
      <c r="C10" s="39" t="s">
        <v>46</v>
      </c>
      <c r="D10" s="23" t="s">
        <v>44</v>
      </c>
      <c r="E10" s="52" t="s">
        <v>47</v>
      </c>
      <c r="F10" s="53"/>
    </row>
    <row r="11" ht="33" spans="1:6">
      <c r="A11" s="39"/>
      <c r="B11" s="39" t="s">
        <v>7</v>
      </c>
      <c r="C11" s="23" t="s">
        <v>48</v>
      </c>
      <c r="D11" s="23" t="s">
        <v>49</v>
      </c>
      <c r="E11" s="52" t="s">
        <v>50</v>
      </c>
      <c r="F11" s="53"/>
    </row>
    <row r="12" ht="33" spans="1:6">
      <c r="A12" s="39"/>
      <c r="B12" s="39" t="s">
        <v>7</v>
      </c>
      <c r="C12" s="23" t="s">
        <v>51</v>
      </c>
      <c r="D12" s="23" t="s">
        <v>52</v>
      </c>
      <c r="E12" s="52" t="s">
        <v>53</v>
      </c>
      <c r="F12" s="53"/>
    </row>
    <row r="13" ht="33" spans="1:6">
      <c r="A13" s="39"/>
      <c r="B13" s="39" t="s">
        <v>6</v>
      </c>
      <c r="C13" s="23" t="s">
        <v>54</v>
      </c>
      <c r="D13" s="23" t="s">
        <v>55</v>
      </c>
      <c r="E13" s="52" t="s">
        <v>56</v>
      </c>
      <c r="F13" s="53"/>
    </row>
    <row r="14" ht="16.5" spans="1:6">
      <c r="A14" s="39"/>
      <c r="B14" s="39" t="s">
        <v>6</v>
      </c>
      <c r="C14" s="23" t="s">
        <v>57</v>
      </c>
      <c r="D14" s="23" t="s">
        <v>27</v>
      </c>
      <c r="E14" s="52" t="s">
        <v>58</v>
      </c>
      <c r="F14" s="53"/>
    </row>
    <row r="15" ht="16.5" spans="1:6">
      <c r="A15" s="39"/>
      <c r="B15" s="39" t="s">
        <v>6</v>
      </c>
      <c r="C15" s="23" t="s">
        <v>59</v>
      </c>
      <c r="D15" s="23" t="s">
        <v>27</v>
      </c>
      <c r="E15" s="52" t="s">
        <v>60</v>
      </c>
      <c r="F15" s="53"/>
    </row>
    <row r="16" ht="16.5" spans="1:6">
      <c r="A16" s="39"/>
      <c r="B16" s="39" t="s">
        <v>6</v>
      </c>
      <c r="C16" s="23" t="s">
        <v>61</v>
      </c>
      <c r="D16" s="23" t="s">
        <v>27</v>
      </c>
      <c r="E16" s="52" t="s">
        <v>62</v>
      </c>
      <c r="F16" s="53"/>
    </row>
    <row r="17" ht="16.5" spans="1:6">
      <c r="A17" s="39"/>
      <c r="B17" s="39" t="s">
        <v>4</v>
      </c>
      <c r="C17" s="23" t="s">
        <v>63</v>
      </c>
      <c r="D17" s="23" t="s">
        <v>64</v>
      </c>
      <c r="E17" s="52" t="s">
        <v>65</v>
      </c>
      <c r="F17" s="53"/>
    </row>
    <row r="18" ht="16.5" spans="1:6">
      <c r="A18" s="39"/>
      <c r="B18" s="39" t="s">
        <v>4</v>
      </c>
      <c r="C18" s="23" t="s">
        <v>66</v>
      </c>
      <c r="D18" s="23" t="s">
        <v>67</v>
      </c>
      <c r="E18" s="52" t="s">
        <v>65</v>
      </c>
      <c r="F18" s="53"/>
    </row>
    <row r="19" ht="16.5" spans="1:6">
      <c r="A19" s="39"/>
      <c r="B19" s="39" t="s">
        <v>4</v>
      </c>
      <c r="C19" s="23" t="s">
        <v>68</v>
      </c>
      <c r="D19" s="23" t="s">
        <v>55</v>
      </c>
      <c r="E19" s="52" t="s">
        <v>69</v>
      </c>
      <c r="F19" s="53"/>
    </row>
    <row r="20" ht="16.5" spans="1:6">
      <c r="A20" s="39"/>
      <c r="B20" s="39" t="s">
        <v>4</v>
      </c>
      <c r="C20" s="23" t="s">
        <v>70</v>
      </c>
      <c r="D20" s="23" t="s">
        <v>67</v>
      </c>
      <c r="E20" s="52" t="s">
        <v>69</v>
      </c>
      <c r="F20" s="53"/>
    </row>
    <row r="21" ht="16.5" spans="1:6">
      <c r="A21" s="39"/>
      <c r="B21" s="39" t="s">
        <v>4</v>
      </c>
      <c r="C21" s="23" t="s">
        <v>71</v>
      </c>
      <c r="D21" s="23" t="s">
        <v>72</v>
      </c>
      <c r="E21" s="52" t="s">
        <v>69</v>
      </c>
      <c r="F21" s="53"/>
    </row>
    <row r="22" ht="16.5" spans="1:6">
      <c r="A22" s="39"/>
      <c r="B22" s="39" t="s">
        <v>4</v>
      </c>
      <c r="C22" s="23" t="s">
        <v>73</v>
      </c>
      <c r="D22" s="23" t="s">
        <v>72</v>
      </c>
      <c r="E22" s="52" t="s">
        <v>74</v>
      </c>
      <c r="F22" s="53"/>
    </row>
    <row r="23" ht="16.5" spans="1:6">
      <c r="A23" s="39"/>
      <c r="B23" s="39" t="s">
        <v>4</v>
      </c>
      <c r="C23" s="23" t="s">
        <v>75</v>
      </c>
      <c r="D23" s="23" t="s">
        <v>72</v>
      </c>
      <c r="E23" s="52" t="s">
        <v>76</v>
      </c>
      <c r="F23" s="53"/>
    </row>
    <row r="24" ht="16.5" spans="1:6">
      <c r="A24" s="39"/>
      <c r="B24" s="39" t="s">
        <v>8</v>
      </c>
      <c r="C24" s="39" t="s">
        <v>77</v>
      </c>
      <c r="D24" s="39" t="s">
        <v>78</v>
      </c>
      <c r="E24" s="52" t="s">
        <v>79</v>
      </c>
      <c r="F24" s="53"/>
    </row>
    <row r="25" ht="16.5" spans="1:6">
      <c r="A25" s="39"/>
      <c r="B25" s="39" t="s">
        <v>8</v>
      </c>
      <c r="C25" s="39" t="s">
        <v>80</v>
      </c>
      <c r="D25" s="39" t="s">
        <v>81</v>
      </c>
      <c r="E25" s="52" t="s">
        <v>82</v>
      </c>
      <c r="F25" s="53"/>
    </row>
    <row r="26" ht="16.5" spans="1:6">
      <c r="A26" s="39"/>
      <c r="B26" s="39" t="s">
        <v>10</v>
      </c>
      <c r="C26" s="23" t="s">
        <v>83</v>
      </c>
      <c r="D26" s="23" t="s">
        <v>67</v>
      </c>
      <c r="E26" s="52" t="s">
        <v>84</v>
      </c>
      <c r="F26" s="53"/>
    </row>
    <row r="27" ht="16.5" spans="1:6">
      <c r="A27" s="39"/>
      <c r="B27" s="39" t="s">
        <v>10</v>
      </c>
      <c r="C27" s="23" t="s">
        <v>85</v>
      </c>
      <c r="D27" s="23" t="s">
        <v>55</v>
      </c>
      <c r="E27" s="52" t="s">
        <v>86</v>
      </c>
      <c r="F27" s="53"/>
    </row>
    <row r="28" ht="16.5" spans="1:6">
      <c r="A28" s="39"/>
      <c r="B28" s="39" t="s">
        <v>10</v>
      </c>
      <c r="C28" s="23" t="s">
        <v>87</v>
      </c>
      <c r="D28" s="23" t="s">
        <v>88</v>
      </c>
      <c r="E28" s="52" t="s">
        <v>89</v>
      </c>
      <c r="F28" s="53"/>
    </row>
    <row r="29" ht="16.5" spans="1:6">
      <c r="A29" s="39"/>
      <c r="B29" s="39" t="s">
        <v>10</v>
      </c>
      <c r="C29" s="23" t="s">
        <v>90</v>
      </c>
      <c r="D29" s="23" t="s">
        <v>91</v>
      </c>
      <c r="E29" s="52" t="s">
        <v>87</v>
      </c>
      <c r="F29" s="53"/>
    </row>
    <row r="30" ht="16.5" spans="1:6">
      <c r="A30" s="39"/>
      <c r="B30" s="39" t="s">
        <v>10</v>
      </c>
      <c r="C30" s="23" t="s">
        <v>92</v>
      </c>
      <c r="D30" s="23" t="s">
        <v>55</v>
      </c>
      <c r="E30" s="52" t="s">
        <v>93</v>
      </c>
      <c r="F30" s="53"/>
    </row>
    <row r="31" ht="16.5" spans="1:6">
      <c r="A31" s="39"/>
      <c r="B31" s="39" t="s">
        <v>10</v>
      </c>
      <c r="C31" s="23" t="s">
        <v>94</v>
      </c>
      <c r="D31" s="23" t="s">
        <v>95</v>
      </c>
      <c r="E31" s="52" t="s">
        <v>96</v>
      </c>
      <c r="F31" s="53"/>
    </row>
    <row r="32" ht="16.5" spans="1:6">
      <c r="A32" s="39"/>
      <c r="B32" s="39" t="s">
        <v>10</v>
      </c>
      <c r="C32" s="23" t="s">
        <v>97</v>
      </c>
      <c r="D32" s="23" t="s">
        <v>67</v>
      </c>
      <c r="E32" s="52" t="s">
        <v>98</v>
      </c>
      <c r="F32" s="53"/>
    </row>
    <row r="33" ht="16.5" spans="1:6">
      <c r="A33" s="39"/>
      <c r="B33" s="39" t="s">
        <v>10</v>
      </c>
      <c r="C33" s="23" t="s">
        <v>99</v>
      </c>
      <c r="D33" s="23" t="s">
        <v>55</v>
      </c>
      <c r="E33" s="52" t="s">
        <v>100</v>
      </c>
      <c r="F33" s="53"/>
    </row>
    <row r="34" ht="33" spans="1:6">
      <c r="A34" s="39"/>
      <c r="B34" s="39" t="s">
        <v>10</v>
      </c>
      <c r="C34" s="23" t="s">
        <v>101</v>
      </c>
      <c r="D34" s="23" t="s">
        <v>67</v>
      </c>
      <c r="E34" s="52" t="s">
        <v>102</v>
      </c>
      <c r="F34" s="53"/>
    </row>
    <row r="35" ht="33" spans="1:6">
      <c r="A35" s="39"/>
      <c r="B35" s="39" t="s">
        <v>11</v>
      </c>
      <c r="C35" s="23" t="s">
        <v>103</v>
      </c>
      <c r="D35" s="23" t="s">
        <v>104</v>
      </c>
      <c r="E35" s="52" t="s">
        <v>105</v>
      </c>
      <c r="F35" s="53"/>
    </row>
    <row r="36" ht="33" spans="1:6">
      <c r="A36" s="39"/>
      <c r="B36" s="39" t="s">
        <v>11</v>
      </c>
      <c r="C36" s="23" t="s">
        <v>106</v>
      </c>
      <c r="D36" s="23" t="s">
        <v>64</v>
      </c>
      <c r="E36" s="52" t="s">
        <v>107</v>
      </c>
      <c r="F36" s="53"/>
    </row>
    <row r="37" ht="33" spans="1:6">
      <c r="A37" s="39"/>
      <c r="B37" s="39" t="s">
        <v>11</v>
      </c>
      <c r="C37" s="23" t="s">
        <v>108</v>
      </c>
      <c r="D37" s="23" t="s">
        <v>67</v>
      </c>
      <c r="E37" s="52" t="s">
        <v>105</v>
      </c>
      <c r="F37" s="53"/>
    </row>
    <row r="38" ht="33" spans="1:6">
      <c r="A38" s="39"/>
      <c r="B38" s="39" t="s">
        <v>11</v>
      </c>
      <c r="C38" s="23" t="s">
        <v>109</v>
      </c>
      <c r="D38" s="23" t="s">
        <v>110</v>
      </c>
      <c r="E38" s="52" t="s">
        <v>111</v>
      </c>
      <c r="F38" s="53"/>
    </row>
    <row r="39" ht="49.5" spans="1:6">
      <c r="A39" s="39"/>
      <c r="B39" s="39" t="s">
        <v>11</v>
      </c>
      <c r="C39" s="23" t="s">
        <v>112</v>
      </c>
      <c r="D39" s="23" t="s">
        <v>72</v>
      </c>
      <c r="E39" s="52" t="s">
        <v>113</v>
      </c>
      <c r="F39" s="53"/>
    </row>
    <row r="40" ht="49.5" spans="1:6">
      <c r="A40" s="39"/>
      <c r="B40" s="39" t="s">
        <v>11</v>
      </c>
      <c r="C40" s="55" t="s">
        <v>114</v>
      </c>
      <c r="D40" s="23" t="s">
        <v>115</v>
      </c>
      <c r="E40" s="52" t="s">
        <v>116</v>
      </c>
      <c r="F40" s="53"/>
    </row>
    <row r="41" ht="49.5" spans="1:6">
      <c r="A41" s="39"/>
      <c r="B41" s="39" t="s">
        <v>11</v>
      </c>
      <c r="C41" s="55" t="s">
        <v>117</v>
      </c>
      <c r="D41" s="23" t="s">
        <v>118</v>
      </c>
      <c r="E41" s="52" t="s">
        <v>119</v>
      </c>
      <c r="F41" s="53"/>
    </row>
    <row r="42" ht="16.5" spans="1:6">
      <c r="A42" s="39"/>
      <c r="B42" s="23" t="s">
        <v>13</v>
      </c>
      <c r="C42" s="23" t="s">
        <v>120</v>
      </c>
      <c r="D42" s="23" t="s">
        <v>121</v>
      </c>
      <c r="E42" s="52" t="s">
        <v>122</v>
      </c>
      <c r="F42" s="53"/>
    </row>
    <row r="43" ht="33" spans="1:6">
      <c r="A43" s="39"/>
      <c r="B43" s="39" t="s">
        <v>14</v>
      </c>
      <c r="C43" s="23" t="s">
        <v>123</v>
      </c>
      <c r="D43" s="23" t="s">
        <v>67</v>
      </c>
      <c r="E43" s="52" t="s">
        <v>124</v>
      </c>
      <c r="F43" s="53"/>
    </row>
    <row r="44" ht="33" spans="1:6">
      <c r="A44" s="39"/>
      <c r="B44" s="39" t="s">
        <v>14</v>
      </c>
      <c r="C44" s="23" t="s">
        <v>125</v>
      </c>
      <c r="D44" s="23" t="s">
        <v>72</v>
      </c>
      <c r="E44" s="52" t="s">
        <v>126</v>
      </c>
      <c r="F44" s="53"/>
    </row>
    <row r="45" ht="16.5" spans="1:6">
      <c r="A45" s="39"/>
      <c r="B45" s="39" t="s">
        <v>14</v>
      </c>
      <c r="C45" s="23" t="s">
        <v>127</v>
      </c>
      <c r="D45" s="23" t="s">
        <v>115</v>
      </c>
      <c r="E45" s="52" t="s">
        <v>128</v>
      </c>
      <c r="F45" s="53"/>
    </row>
    <row r="46" ht="33" spans="1:6">
      <c r="A46" s="39"/>
      <c r="B46" s="39" t="s">
        <v>16</v>
      </c>
      <c r="C46" s="39" t="s">
        <v>129</v>
      </c>
      <c r="D46" s="39" t="s">
        <v>81</v>
      </c>
      <c r="E46" s="52" t="s">
        <v>130</v>
      </c>
      <c r="F46" s="53"/>
    </row>
    <row r="47" ht="33" spans="1:6">
      <c r="A47" s="39"/>
      <c r="B47" s="39" t="s">
        <v>16</v>
      </c>
      <c r="C47" s="39" t="s">
        <v>131</v>
      </c>
      <c r="D47" s="39" t="s">
        <v>132</v>
      </c>
      <c r="E47" s="52" t="s">
        <v>133</v>
      </c>
      <c r="F47" s="53"/>
    </row>
    <row r="48" ht="16.5" spans="1:6">
      <c r="A48" s="39"/>
      <c r="B48" s="39" t="s">
        <v>17</v>
      </c>
      <c r="C48" s="39" t="s">
        <v>134</v>
      </c>
      <c r="D48" s="39" t="s">
        <v>135</v>
      </c>
      <c r="E48" s="52" t="s">
        <v>136</v>
      </c>
      <c r="F48" s="53"/>
    </row>
    <row r="49" ht="16.5" spans="1:6">
      <c r="A49" s="39"/>
      <c r="B49" s="39" t="s">
        <v>19</v>
      </c>
      <c r="C49" s="39" t="s">
        <v>137</v>
      </c>
      <c r="D49" s="39" t="s">
        <v>138</v>
      </c>
      <c r="E49" s="52" t="s">
        <v>139</v>
      </c>
      <c r="F49" s="53"/>
    </row>
    <row r="50" ht="16.5" spans="1:6">
      <c r="A50" s="39"/>
      <c r="B50" s="39" t="s">
        <v>19</v>
      </c>
      <c r="C50" s="39" t="s">
        <v>140</v>
      </c>
      <c r="D50" s="39" t="s">
        <v>141</v>
      </c>
      <c r="E50" s="52" t="s">
        <v>142</v>
      </c>
      <c r="F50" s="53"/>
    </row>
    <row r="51" ht="16.5" spans="1:6">
      <c r="A51" s="39"/>
      <c r="B51" s="39" t="s">
        <v>19</v>
      </c>
      <c r="C51" s="39" t="s">
        <v>143</v>
      </c>
      <c r="D51" s="39" t="s">
        <v>144</v>
      </c>
      <c r="E51" s="52" t="s">
        <v>145</v>
      </c>
      <c r="F51" s="53"/>
    </row>
    <row r="52" ht="16.5" spans="1:6">
      <c r="A52" s="39"/>
      <c r="B52" s="39" t="s">
        <v>19</v>
      </c>
      <c r="C52" s="39" t="s">
        <v>146</v>
      </c>
      <c r="D52" s="39" t="s">
        <v>147</v>
      </c>
      <c r="E52" s="52" t="s">
        <v>148</v>
      </c>
      <c r="F52" s="53"/>
    </row>
    <row r="53" ht="16.5" spans="1:6">
      <c r="A53" s="39"/>
      <c r="B53" s="39" t="s">
        <v>19</v>
      </c>
      <c r="C53" s="39" t="s">
        <v>149</v>
      </c>
      <c r="D53" s="39" t="s">
        <v>150</v>
      </c>
      <c r="E53" s="52" t="s">
        <v>151</v>
      </c>
      <c r="F53" s="53"/>
    </row>
    <row r="54" ht="16.5" spans="1:6">
      <c r="A54" s="39"/>
      <c r="B54" s="39" t="s">
        <v>19</v>
      </c>
      <c r="C54" s="39" t="s">
        <v>152</v>
      </c>
      <c r="D54" s="39" t="s">
        <v>153</v>
      </c>
      <c r="E54" s="52" t="s">
        <v>154</v>
      </c>
      <c r="F54" s="53"/>
    </row>
    <row r="55" ht="16.5" spans="1:6">
      <c r="A55" s="39"/>
      <c r="B55" s="39" t="s">
        <v>19</v>
      </c>
      <c r="C55" s="39" t="s">
        <v>155</v>
      </c>
      <c r="D55" s="39" t="s">
        <v>156</v>
      </c>
      <c r="E55" s="52" t="s">
        <v>157</v>
      </c>
      <c r="F55" s="53"/>
    </row>
    <row r="56" ht="16.5" spans="1:6">
      <c r="A56" s="39"/>
      <c r="B56" s="39" t="s">
        <v>19</v>
      </c>
      <c r="C56" s="39" t="s">
        <v>158</v>
      </c>
      <c r="D56" s="39" t="s">
        <v>159</v>
      </c>
      <c r="E56" s="52" t="s">
        <v>160</v>
      </c>
      <c r="F56" s="53"/>
    </row>
    <row r="57" ht="16.5" spans="1:6">
      <c r="A57" s="39"/>
      <c r="B57" s="39" t="s">
        <v>19</v>
      </c>
      <c r="C57" s="39" t="s">
        <v>161</v>
      </c>
      <c r="D57" s="39" t="s">
        <v>162</v>
      </c>
      <c r="E57" s="52" t="s">
        <v>163</v>
      </c>
      <c r="F57" s="53"/>
    </row>
    <row r="58" ht="16.5" spans="1:6">
      <c r="A58" s="39"/>
      <c r="B58" s="39" t="s">
        <v>19</v>
      </c>
      <c r="C58" s="39" t="s">
        <v>164</v>
      </c>
      <c r="D58" s="39" t="s">
        <v>165</v>
      </c>
      <c r="E58" s="52" t="s">
        <v>166</v>
      </c>
      <c r="F58" s="53"/>
    </row>
    <row r="59" ht="16.5" spans="1:6">
      <c r="A59" s="39"/>
      <c r="B59" s="39" t="s">
        <v>20</v>
      </c>
      <c r="C59" s="39" t="s">
        <v>167</v>
      </c>
      <c r="D59" s="39" t="s">
        <v>138</v>
      </c>
      <c r="E59" s="52" t="s">
        <v>137</v>
      </c>
      <c r="F59" s="53"/>
    </row>
    <row r="60" ht="16.5" spans="1:6">
      <c r="A60" s="39"/>
      <c r="B60" s="39" t="s">
        <v>20</v>
      </c>
      <c r="C60" s="39" t="s">
        <v>168</v>
      </c>
      <c r="D60" s="39" t="s">
        <v>141</v>
      </c>
      <c r="E60" s="52" t="s">
        <v>140</v>
      </c>
      <c r="F60" s="53"/>
    </row>
    <row r="61" ht="16.5" spans="1:6">
      <c r="A61" s="39"/>
      <c r="B61" s="39" t="s">
        <v>20</v>
      </c>
      <c r="C61" s="39" t="s">
        <v>169</v>
      </c>
      <c r="D61" s="39" t="s">
        <v>144</v>
      </c>
      <c r="E61" s="52" t="s">
        <v>143</v>
      </c>
      <c r="F61" s="53"/>
    </row>
    <row r="62" ht="16.5" spans="1:6">
      <c r="A62" s="56"/>
      <c r="B62" s="56" t="s">
        <v>20</v>
      </c>
      <c r="C62" s="56" t="s">
        <v>170</v>
      </c>
      <c r="D62" s="56" t="s">
        <v>147</v>
      </c>
      <c r="E62" s="57" t="s">
        <v>146</v>
      </c>
      <c r="F62" s="53"/>
    </row>
    <row r="63" ht="16.5" spans="1:6">
      <c r="A63" s="39"/>
      <c r="B63" s="39" t="s">
        <v>20</v>
      </c>
      <c r="C63" s="39" t="s">
        <v>171</v>
      </c>
      <c r="D63" s="39" t="s">
        <v>150</v>
      </c>
      <c r="E63" s="52" t="s">
        <v>149</v>
      </c>
      <c r="F63" s="53"/>
    </row>
    <row r="64" ht="14.25" spans="1:6">
      <c r="A64" s="22"/>
      <c r="B64" s="22" t="s">
        <v>21</v>
      </c>
      <c r="C64" s="22" t="s">
        <v>172</v>
      </c>
      <c r="D64" s="22">
        <v>99</v>
      </c>
      <c r="E64" s="58" t="s">
        <v>172</v>
      </c>
      <c r="F64" s="53"/>
    </row>
    <row r="65" ht="14.25" spans="1:6">
      <c r="A65" s="22"/>
      <c r="B65" s="22" t="s">
        <v>21</v>
      </c>
      <c r="C65" s="22" t="s">
        <v>173</v>
      </c>
      <c r="D65" s="22">
        <v>129</v>
      </c>
      <c r="E65" s="58" t="s">
        <v>173</v>
      </c>
      <c r="F65" s="53"/>
    </row>
    <row r="66" ht="14.25" spans="1:6">
      <c r="A66" s="22"/>
      <c r="B66" s="22" t="s">
        <v>21</v>
      </c>
      <c r="C66" s="22" t="s">
        <v>174</v>
      </c>
      <c r="D66" s="22">
        <v>159</v>
      </c>
      <c r="E66" s="58" t="s">
        <v>174</v>
      </c>
      <c r="F66" s="53"/>
    </row>
    <row r="67" ht="14.25" spans="1:6">
      <c r="A67" s="22"/>
      <c r="B67" s="22" t="s">
        <v>21</v>
      </c>
      <c r="C67" s="22" t="s">
        <v>175</v>
      </c>
      <c r="D67" s="22">
        <v>199</v>
      </c>
      <c r="E67" s="58" t="s">
        <v>175</v>
      </c>
      <c r="F67" s="53"/>
    </row>
    <row r="68" ht="14.25" spans="1:6">
      <c r="A68" s="22"/>
      <c r="B68" s="22" t="s">
        <v>21</v>
      </c>
      <c r="C68" s="22" t="s">
        <v>176</v>
      </c>
      <c r="D68" s="22">
        <v>239</v>
      </c>
      <c r="E68" s="58" t="s">
        <v>176</v>
      </c>
      <c r="F68" s="53"/>
    </row>
    <row r="69" ht="14.25" spans="1:6">
      <c r="A69" s="22"/>
      <c r="B69" s="22" t="s">
        <v>21</v>
      </c>
      <c r="C69" s="22" t="s">
        <v>177</v>
      </c>
      <c r="D69" s="22">
        <v>299</v>
      </c>
      <c r="E69" s="58" t="s">
        <v>177</v>
      </c>
      <c r="F69" s="53"/>
    </row>
    <row r="70" ht="14.25" spans="1:6">
      <c r="A70" s="22"/>
      <c r="B70" s="22" t="s">
        <v>21</v>
      </c>
      <c r="C70" s="22" t="s">
        <v>178</v>
      </c>
      <c r="D70" s="22">
        <v>399</v>
      </c>
      <c r="E70" s="58" t="s">
        <v>178</v>
      </c>
      <c r="F70" s="53"/>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6"/>
  <sheetViews>
    <sheetView workbookViewId="0">
      <selection activeCell="A1" sqref="$A1:$XFD1"/>
    </sheetView>
  </sheetViews>
  <sheetFormatPr defaultColWidth="8.66666666666667" defaultRowHeight="15.6" customHeight="1"/>
  <cols>
    <col min="1" max="3" width="5.16666666666667" style="35" customWidth="1"/>
    <col min="4" max="4" width="17.1666666666667" style="35" customWidth="1"/>
    <col min="5" max="5" width="43" style="35" customWidth="1"/>
    <col min="6" max="6" width="36" style="35" customWidth="1"/>
    <col min="7" max="7" width="36.1666666666667" style="35" customWidth="1"/>
    <col min="8" max="8" width="21.5" style="35" customWidth="1"/>
    <col min="9" max="11" width="9.83333333333333" style="35" customWidth="1"/>
  </cols>
  <sheetData>
    <row r="1" s="17" customFormat="1" customHeight="1" spans="1:11">
      <c r="A1" s="20" t="s">
        <v>0</v>
      </c>
      <c r="B1" s="20" t="s">
        <v>179</v>
      </c>
      <c r="C1" s="20" t="s">
        <v>180</v>
      </c>
      <c r="D1" s="20" t="s">
        <v>181</v>
      </c>
      <c r="E1" s="7" t="s">
        <v>182</v>
      </c>
      <c r="F1" s="7" t="s">
        <v>183</v>
      </c>
      <c r="G1" s="20" t="s">
        <v>184</v>
      </c>
      <c r="H1" s="20" t="s">
        <v>185</v>
      </c>
      <c r="I1" s="20" t="s">
        <v>186</v>
      </c>
      <c r="J1" s="20" t="s">
        <v>187</v>
      </c>
      <c r="K1" s="20" t="s">
        <v>188</v>
      </c>
    </row>
    <row r="2" ht="28.8" customHeight="1" spans="1:11">
      <c r="A2" s="8">
        <v>1</v>
      </c>
      <c r="B2" s="8">
        <v>10</v>
      </c>
      <c r="C2" s="8" t="s">
        <v>189</v>
      </c>
      <c r="D2" s="8" t="s">
        <v>190</v>
      </c>
      <c r="E2" s="8" t="s">
        <v>191</v>
      </c>
      <c r="F2" s="23" t="s">
        <v>26</v>
      </c>
      <c r="G2" s="23"/>
      <c r="H2" s="23"/>
      <c r="I2" s="23"/>
      <c r="J2" s="48"/>
      <c r="K2" s="48"/>
    </row>
    <row r="3" ht="28.8" customHeight="1" spans="1:11">
      <c r="A3" s="22">
        <v>2</v>
      </c>
      <c r="B3" s="22">
        <v>10</v>
      </c>
      <c r="C3" s="22" t="s">
        <v>189</v>
      </c>
      <c r="D3" s="22" t="s">
        <v>9</v>
      </c>
      <c r="E3" s="45" t="s">
        <v>192</v>
      </c>
      <c r="F3" s="8" t="s">
        <v>112</v>
      </c>
      <c r="G3" s="8" t="s">
        <v>92</v>
      </c>
      <c r="H3" s="46"/>
      <c r="I3" s="22"/>
      <c r="J3" s="46"/>
      <c r="K3" s="46"/>
    </row>
    <row r="4" ht="28.8" customHeight="1" spans="1:11">
      <c r="A4" s="8">
        <v>3</v>
      </c>
      <c r="B4" s="8">
        <v>10</v>
      </c>
      <c r="C4" s="8" t="s">
        <v>189</v>
      </c>
      <c r="D4" s="8" t="s">
        <v>193</v>
      </c>
      <c r="E4" s="45" t="s">
        <v>194</v>
      </c>
      <c r="F4" s="39" t="s">
        <v>134</v>
      </c>
      <c r="G4" s="8"/>
      <c r="H4" s="8"/>
      <c r="I4" s="8"/>
      <c r="J4" s="48"/>
      <c r="K4" s="48"/>
    </row>
    <row r="5" ht="28.8" customHeight="1" spans="1:11">
      <c r="A5" s="22">
        <v>4</v>
      </c>
      <c r="B5" s="22">
        <v>10</v>
      </c>
      <c r="C5" s="22" t="s">
        <v>189</v>
      </c>
      <c r="D5" s="22" t="s">
        <v>195</v>
      </c>
      <c r="E5" s="8" t="s">
        <v>196</v>
      </c>
      <c r="F5" s="8" t="s">
        <v>169</v>
      </c>
      <c r="G5" s="22" t="s">
        <v>120</v>
      </c>
      <c r="H5" s="22"/>
      <c r="I5" s="22"/>
      <c r="J5" s="46"/>
      <c r="K5" s="46"/>
    </row>
    <row r="6" ht="43.2" customHeight="1" spans="1:11">
      <c r="A6" s="8">
        <v>5</v>
      </c>
      <c r="B6" s="8">
        <v>10</v>
      </c>
      <c r="C6" s="8" t="s">
        <v>189</v>
      </c>
      <c r="D6" s="8" t="s">
        <v>197</v>
      </c>
      <c r="E6" s="8" t="s">
        <v>198</v>
      </c>
      <c r="F6" s="8" t="s">
        <v>149</v>
      </c>
      <c r="G6" s="8" t="s">
        <v>26</v>
      </c>
      <c r="H6" s="8"/>
      <c r="I6" s="8"/>
      <c r="J6" s="8"/>
      <c r="K6" s="48"/>
    </row>
    <row r="7" ht="28.8" customHeight="1" spans="1:11">
      <c r="A7" s="22">
        <v>6</v>
      </c>
      <c r="B7" s="22">
        <v>15</v>
      </c>
      <c r="C7" s="22" t="s">
        <v>189</v>
      </c>
      <c r="D7" s="22" t="s">
        <v>199</v>
      </c>
      <c r="E7" s="8" t="s">
        <v>200</v>
      </c>
      <c r="F7" s="23" t="s">
        <v>48</v>
      </c>
      <c r="G7" s="23"/>
      <c r="H7" s="22"/>
      <c r="I7" s="22"/>
      <c r="J7" s="46"/>
      <c r="K7" s="46"/>
    </row>
    <row r="8" customHeight="1" spans="1:11">
      <c r="A8" s="22">
        <v>7</v>
      </c>
      <c r="B8" s="22">
        <v>15</v>
      </c>
      <c r="C8" s="22" t="s">
        <v>189</v>
      </c>
      <c r="D8" s="22" t="s">
        <v>201</v>
      </c>
      <c r="E8" s="8" t="s">
        <v>202</v>
      </c>
      <c r="F8" s="22" t="s">
        <v>172</v>
      </c>
      <c r="G8" s="22" t="s">
        <v>140</v>
      </c>
      <c r="H8" s="22"/>
      <c r="I8" s="22"/>
      <c r="J8" s="46"/>
      <c r="K8" s="46"/>
    </row>
    <row r="9" customHeight="1" spans="1:11">
      <c r="A9" s="22">
        <v>8</v>
      </c>
      <c r="B9" s="22">
        <v>15</v>
      </c>
      <c r="C9" s="22" t="s">
        <v>189</v>
      </c>
      <c r="D9" s="22" t="s">
        <v>203</v>
      </c>
      <c r="E9" s="8" t="s">
        <v>204</v>
      </c>
      <c r="F9" s="8" t="s">
        <v>168</v>
      </c>
      <c r="G9" s="23" t="s">
        <v>120</v>
      </c>
      <c r="H9" s="8" t="s">
        <v>92</v>
      </c>
      <c r="I9" s="22"/>
      <c r="J9" s="46"/>
      <c r="K9" s="46"/>
    </row>
    <row r="10" ht="30" customHeight="1" spans="1:11">
      <c r="A10" s="22">
        <v>9</v>
      </c>
      <c r="B10" s="22">
        <v>15</v>
      </c>
      <c r="C10" s="22" t="s">
        <v>189</v>
      </c>
      <c r="D10" s="22" t="s">
        <v>205</v>
      </c>
      <c r="E10" s="8" t="s">
        <v>206</v>
      </c>
      <c r="F10" s="8" t="s">
        <v>167</v>
      </c>
      <c r="G10" s="23" t="s">
        <v>54</v>
      </c>
      <c r="H10" s="23" t="s">
        <v>57</v>
      </c>
      <c r="I10" s="23"/>
      <c r="J10" s="23"/>
      <c r="K10" s="46"/>
    </row>
    <row r="11" ht="43.2" customHeight="1" spans="1:11">
      <c r="A11" s="22">
        <v>10</v>
      </c>
      <c r="B11" s="22">
        <v>15</v>
      </c>
      <c r="C11" s="22" t="s">
        <v>189</v>
      </c>
      <c r="D11" s="22" t="s">
        <v>207</v>
      </c>
      <c r="E11" s="8" t="s">
        <v>208</v>
      </c>
      <c r="F11" s="8" t="s">
        <v>77</v>
      </c>
      <c r="G11" s="23" t="s">
        <v>120</v>
      </c>
      <c r="H11" s="22"/>
      <c r="I11" s="22"/>
      <c r="J11" s="46"/>
      <c r="K11" s="46"/>
    </row>
    <row r="12" ht="43.2" customHeight="1" spans="1:11">
      <c r="A12" s="22">
        <v>11</v>
      </c>
      <c r="B12" s="22">
        <v>20</v>
      </c>
      <c r="C12" s="22" t="s">
        <v>189</v>
      </c>
      <c r="D12" s="22" t="s">
        <v>209</v>
      </c>
      <c r="E12" s="8" t="s">
        <v>210</v>
      </c>
      <c r="F12" s="39" t="s">
        <v>167</v>
      </c>
      <c r="G12" s="23" t="s">
        <v>120</v>
      </c>
      <c r="H12" s="23" t="s">
        <v>54</v>
      </c>
      <c r="I12" s="22"/>
      <c r="J12" s="46"/>
      <c r="K12" s="46"/>
    </row>
    <row r="13" ht="43.2" customHeight="1" spans="1:11">
      <c r="A13" s="8">
        <v>12</v>
      </c>
      <c r="B13" s="8">
        <v>20</v>
      </c>
      <c r="C13" s="8" t="s">
        <v>189</v>
      </c>
      <c r="D13" s="8" t="s">
        <v>211</v>
      </c>
      <c r="E13" s="8" t="s">
        <v>212</v>
      </c>
      <c r="F13" s="8" t="s">
        <v>140</v>
      </c>
      <c r="G13" s="8" t="s">
        <v>149</v>
      </c>
      <c r="H13" s="8" t="s">
        <v>26</v>
      </c>
      <c r="I13" s="8"/>
      <c r="J13" s="8"/>
      <c r="K13" s="23"/>
    </row>
    <row r="14" ht="43.2" customHeight="1" spans="1:11">
      <c r="A14" s="22">
        <v>13</v>
      </c>
      <c r="B14" s="22">
        <v>20</v>
      </c>
      <c r="C14" s="22" t="s">
        <v>189</v>
      </c>
      <c r="D14" s="22" t="s">
        <v>213</v>
      </c>
      <c r="E14" s="8" t="s">
        <v>214</v>
      </c>
      <c r="F14" s="39" t="s">
        <v>167</v>
      </c>
      <c r="G14" s="8" t="s">
        <v>26</v>
      </c>
      <c r="H14" s="22"/>
      <c r="I14" s="22"/>
      <c r="J14" s="46"/>
      <c r="K14" s="46"/>
    </row>
    <row r="15" ht="28.8" customHeight="1" spans="1:11">
      <c r="A15" s="22">
        <v>14</v>
      </c>
      <c r="B15" s="22">
        <v>20</v>
      </c>
      <c r="C15" s="22" t="s">
        <v>189</v>
      </c>
      <c r="D15" s="22" t="s">
        <v>215</v>
      </c>
      <c r="E15" s="45" t="s">
        <v>216</v>
      </c>
      <c r="F15" s="39" t="s">
        <v>131</v>
      </c>
      <c r="G15" s="23" t="s">
        <v>106</v>
      </c>
      <c r="H15" s="47"/>
      <c r="I15" s="22"/>
      <c r="J15" s="46"/>
      <c r="K15" s="46"/>
    </row>
    <row r="16" ht="28.8" customHeight="1" spans="1:11">
      <c r="A16" s="22">
        <v>15</v>
      </c>
      <c r="B16" s="22">
        <v>20</v>
      </c>
      <c r="C16" s="22" t="s">
        <v>189</v>
      </c>
      <c r="D16" s="22" t="s">
        <v>217</v>
      </c>
      <c r="E16" s="8" t="s">
        <v>218</v>
      </c>
      <c r="F16" s="39" t="s">
        <v>167</v>
      </c>
      <c r="G16" s="39" t="s">
        <v>26</v>
      </c>
      <c r="H16" s="22"/>
      <c r="I16" s="22"/>
      <c r="J16" s="46"/>
      <c r="K16" s="46"/>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P91"/>
  <sheetViews>
    <sheetView workbookViewId="0">
      <pane ySplit="1" topLeftCell="A2" activePane="bottomLeft" state="frozen"/>
      <selection/>
      <selection pane="bottomLeft" activeCell="A1" sqref="$A1:$XFD1"/>
    </sheetView>
  </sheetViews>
  <sheetFormatPr defaultColWidth="9" defaultRowHeight="14.4" customHeight="1"/>
  <cols>
    <col min="1" max="1" width="4.66666666666667" style="35" customWidth="1"/>
    <col min="2" max="2" width="12.8333333333333" style="6" customWidth="1"/>
    <col min="3" max="3" width="7.83333333333333" style="35" customWidth="1"/>
    <col min="4" max="4" width="28.1666666666667" style="5" customWidth="1"/>
    <col min="5" max="5" width="6.375" style="5" customWidth="1"/>
    <col min="6" max="6" width="11.25" style="35" customWidth="1"/>
    <col min="7" max="7" width="10.8333333333333" style="33" customWidth="1"/>
    <col min="8" max="8" width="10.5416666666667" style="33" customWidth="1"/>
    <col min="9" max="9" width="9.5" style="33" customWidth="1"/>
    <col min="10" max="10" width="17.1666666666667" style="5" customWidth="1"/>
    <col min="11" max="11" width="14.1666666666667" style="35" customWidth="1"/>
    <col min="12" max="12" width="13.1666666666667" style="35" customWidth="1"/>
    <col min="13" max="13" width="22.1666666666667" style="35" customWidth="1"/>
    <col min="14" max="14" width="32.8333333333333" style="35" customWidth="1"/>
    <col min="15" max="15" width="5.16666666666667" style="35" customWidth="1"/>
  </cols>
  <sheetData>
    <row r="1" s="32" customFormat="1" ht="15" customHeight="1" spans="1:15">
      <c r="A1" s="36" t="s">
        <v>0</v>
      </c>
      <c r="B1" s="37" t="s">
        <v>181</v>
      </c>
      <c r="C1" s="36" t="s">
        <v>219</v>
      </c>
      <c r="D1" s="36" t="s">
        <v>220</v>
      </c>
      <c r="E1" s="36" t="s">
        <v>221</v>
      </c>
      <c r="F1" s="38" t="s">
        <v>222</v>
      </c>
      <c r="G1" s="38" t="s">
        <v>223</v>
      </c>
      <c r="H1" s="38" t="s">
        <v>224</v>
      </c>
      <c r="I1" s="38" t="s">
        <v>225</v>
      </c>
      <c r="J1" s="38" t="s">
        <v>15</v>
      </c>
      <c r="K1" s="38" t="s">
        <v>226</v>
      </c>
      <c r="L1" s="38" t="s">
        <v>227</v>
      </c>
      <c r="M1" s="38" t="s">
        <v>12</v>
      </c>
      <c r="N1" s="38" t="s">
        <v>228</v>
      </c>
      <c r="O1" s="38" t="s">
        <v>229</v>
      </c>
    </row>
    <row r="2" s="33" customFormat="1" customHeight="1" spans="1:15">
      <c r="A2" s="23">
        <v>1</v>
      </c>
      <c r="B2" s="23" t="str">
        <f>[1]场景名称库!D2</f>
        <v>流量激发</v>
      </c>
      <c r="C2" s="39" t="s">
        <v>230</v>
      </c>
      <c r="D2" s="23" t="s">
        <v>231</v>
      </c>
      <c r="E2" s="23" t="s">
        <v>232</v>
      </c>
      <c r="F2" s="39" t="s">
        <v>233</v>
      </c>
      <c r="G2" s="39" t="s">
        <v>234</v>
      </c>
      <c r="H2" s="39" t="s">
        <v>235</v>
      </c>
      <c r="I2" s="39" t="s">
        <v>236</v>
      </c>
      <c r="J2" s="39" t="s">
        <v>237</v>
      </c>
      <c r="K2" s="39" t="s">
        <v>238</v>
      </c>
      <c r="L2" s="39" t="s">
        <v>239</v>
      </c>
      <c r="M2" s="39" t="s">
        <v>240</v>
      </c>
      <c r="N2" s="39" t="str">
        <f t="shared" ref="N2:N65" si="0">D2</f>
        <v>全职妈妈</v>
      </c>
      <c r="O2" s="39" t="s">
        <v>241</v>
      </c>
    </row>
    <row r="3" s="33" customFormat="1" customHeight="1" spans="1:15">
      <c r="A3" s="23">
        <v>2</v>
      </c>
      <c r="B3" s="23"/>
      <c r="C3" s="39" t="s">
        <v>242</v>
      </c>
      <c r="D3" s="23" t="s">
        <v>243</v>
      </c>
      <c r="E3" s="23" t="s">
        <v>244</v>
      </c>
      <c r="F3" s="39" t="s">
        <v>233</v>
      </c>
      <c r="G3" s="39" t="s">
        <v>245</v>
      </c>
      <c r="H3" s="39" t="s">
        <v>246</v>
      </c>
      <c r="I3" s="39" t="s">
        <v>247</v>
      </c>
      <c r="J3" s="39" t="s">
        <v>237</v>
      </c>
      <c r="K3" s="39" t="s">
        <v>238</v>
      </c>
      <c r="L3" s="39" t="s">
        <v>239</v>
      </c>
      <c r="M3" s="39" t="s">
        <v>240</v>
      </c>
      <c r="N3" s="39" t="str">
        <f t="shared" si="0"/>
        <v>在校大学生</v>
      </c>
      <c r="O3" s="39" t="s">
        <v>241</v>
      </c>
    </row>
    <row r="4" s="33" customFormat="1" customHeight="1" spans="1:15">
      <c r="A4" s="23">
        <v>3</v>
      </c>
      <c r="B4" s="23"/>
      <c r="C4" s="39" t="s">
        <v>248</v>
      </c>
      <c r="D4" s="23" t="s">
        <v>249</v>
      </c>
      <c r="E4" s="23" t="s">
        <v>232</v>
      </c>
      <c r="F4" s="39" t="s">
        <v>233</v>
      </c>
      <c r="G4" s="39" t="s">
        <v>245</v>
      </c>
      <c r="H4" s="39" t="s">
        <v>235</v>
      </c>
      <c r="I4" s="39" t="s">
        <v>236</v>
      </c>
      <c r="J4" s="39" t="s">
        <v>237</v>
      </c>
      <c r="K4" s="39" t="s">
        <v>238</v>
      </c>
      <c r="L4" s="39" t="s">
        <v>239</v>
      </c>
      <c r="M4" s="39" t="s">
        <v>240</v>
      </c>
      <c r="N4" s="39" t="str">
        <f t="shared" si="0"/>
        <v>职场青年</v>
      </c>
      <c r="O4" s="39" t="s">
        <v>241</v>
      </c>
    </row>
    <row r="5" s="33" customFormat="1" customHeight="1" spans="1:15">
      <c r="A5" s="23">
        <v>4</v>
      </c>
      <c r="B5" s="23"/>
      <c r="C5" s="39" t="s">
        <v>250</v>
      </c>
      <c r="D5" s="23" t="s">
        <v>251</v>
      </c>
      <c r="E5" s="23" t="s">
        <v>244</v>
      </c>
      <c r="F5" s="39" t="s">
        <v>233</v>
      </c>
      <c r="G5" s="39" t="s">
        <v>245</v>
      </c>
      <c r="H5" s="39" t="s">
        <v>252</v>
      </c>
      <c r="I5" s="39" t="s">
        <v>236</v>
      </c>
      <c r="J5" s="39" t="s">
        <v>253</v>
      </c>
      <c r="K5" s="39" t="s">
        <v>238</v>
      </c>
      <c r="L5" s="39" t="s">
        <v>239</v>
      </c>
      <c r="M5" s="39" t="s">
        <v>240</v>
      </c>
      <c r="N5" s="39" t="str">
        <f t="shared" si="0"/>
        <v>商务人士</v>
      </c>
      <c r="O5" s="39" t="s">
        <v>241</v>
      </c>
    </row>
    <row r="6" s="33" customFormat="1" customHeight="1" spans="1:15">
      <c r="A6" s="23">
        <v>5</v>
      </c>
      <c r="B6" s="23"/>
      <c r="C6" s="39" t="s">
        <v>254</v>
      </c>
      <c r="D6" s="23" t="s">
        <v>255</v>
      </c>
      <c r="E6" s="23" t="s">
        <v>244</v>
      </c>
      <c r="F6" s="39" t="s">
        <v>233</v>
      </c>
      <c r="G6" s="39" t="s">
        <v>245</v>
      </c>
      <c r="H6" s="39" t="s">
        <v>235</v>
      </c>
      <c r="I6" s="39" t="s">
        <v>247</v>
      </c>
      <c r="J6" s="39" t="s">
        <v>253</v>
      </c>
      <c r="K6" s="39" t="s">
        <v>238</v>
      </c>
      <c r="L6" s="39" t="s">
        <v>239</v>
      </c>
      <c r="M6" s="39" t="s">
        <v>240</v>
      </c>
      <c r="N6" s="39" t="str">
        <f t="shared" si="0"/>
        <v>集团AB类用户</v>
      </c>
      <c r="O6" s="39" t="s">
        <v>241</v>
      </c>
    </row>
    <row r="7" s="33" customFormat="1" customHeight="1" spans="1:15">
      <c r="A7" s="23">
        <v>6</v>
      </c>
      <c r="B7" s="23"/>
      <c r="C7" s="39" t="s">
        <v>256</v>
      </c>
      <c r="D7" s="23" t="s">
        <v>257</v>
      </c>
      <c r="E7" s="23" t="s">
        <v>244</v>
      </c>
      <c r="F7" s="39" t="s">
        <v>233</v>
      </c>
      <c r="G7" s="39" t="s">
        <v>245</v>
      </c>
      <c r="H7" s="39" t="s">
        <v>235</v>
      </c>
      <c r="I7" s="39" t="s">
        <v>236</v>
      </c>
      <c r="J7" s="39" t="s">
        <v>253</v>
      </c>
      <c r="K7" s="39" t="s">
        <v>238</v>
      </c>
      <c r="L7" s="39" t="s">
        <v>239</v>
      </c>
      <c r="M7" s="39" t="s">
        <v>240</v>
      </c>
      <c r="N7" s="39" t="str">
        <f t="shared" si="0"/>
        <v>个体工商户</v>
      </c>
      <c r="O7" s="39" t="s">
        <v>241</v>
      </c>
    </row>
    <row r="8" s="33" customFormat="1" customHeight="1" spans="1:15">
      <c r="A8" s="23">
        <v>2</v>
      </c>
      <c r="B8" s="23" t="str">
        <f>[1]场景名称库!D3</f>
        <v>新业务</v>
      </c>
      <c r="C8" s="39" t="s">
        <v>230</v>
      </c>
      <c r="D8" s="23" t="s">
        <v>255</v>
      </c>
      <c r="E8" s="23" t="s">
        <v>244</v>
      </c>
      <c r="F8" s="39" t="s">
        <v>233</v>
      </c>
      <c r="G8" s="23" t="s">
        <v>258</v>
      </c>
      <c r="H8" s="39" t="s">
        <v>235</v>
      </c>
      <c r="I8" s="23" t="s">
        <v>259</v>
      </c>
      <c r="J8" s="39" t="s">
        <v>260</v>
      </c>
      <c r="K8" s="39" t="s">
        <v>238</v>
      </c>
      <c r="L8" s="23" t="s">
        <v>240</v>
      </c>
      <c r="M8" s="39" t="s">
        <v>240</v>
      </c>
      <c r="N8" s="39" t="str">
        <f t="shared" si="0"/>
        <v>集团AB类用户</v>
      </c>
      <c r="O8" s="23" t="s">
        <v>241</v>
      </c>
    </row>
    <row r="9" s="33" customFormat="1" customHeight="1" spans="1:15">
      <c r="A9" s="23">
        <v>8</v>
      </c>
      <c r="B9" s="23"/>
      <c r="C9" s="39" t="s">
        <v>242</v>
      </c>
      <c r="D9" s="39" t="s">
        <v>257</v>
      </c>
      <c r="E9" s="39" t="s">
        <v>244</v>
      </c>
      <c r="F9" s="39" t="s">
        <v>233</v>
      </c>
      <c r="G9" s="23" t="s">
        <v>258</v>
      </c>
      <c r="H9" s="39" t="s">
        <v>235</v>
      </c>
      <c r="I9" s="23" t="s">
        <v>259</v>
      </c>
      <c r="J9" s="39" t="s">
        <v>260</v>
      </c>
      <c r="K9" s="39" t="s">
        <v>238</v>
      </c>
      <c r="L9" s="23" t="s">
        <v>240</v>
      </c>
      <c r="M9" s="23" t="s">
        <v>261</v>
      </c>
      <c r="N9" s="39" t="str">
        <f t="shared" si="0"/>
        <v>个体工商户</v>
      </c>
      <c r="O9" s="23" t="s">
        <v>241</v>
      </c>
    </row>
    <row r="10" s="33" customFormat="1" customHeight="1" spans="1:15">
      <c r="A10" s="23">
        <v>9</v>
      </c>
      <c r="B10" s="23"/>
      <c r="C10" s="39" t="s">
        <v>248</v>
      </c>
      <c r="D10" s="23" t="s">
        <v>262</v>
      </c>
      <c r="E10" s="23" t="s">
        <v>244</v>
      </c>
      <c r="F10" s="39" t="s">
        <v>233</v>
      </c>
      <c r="G10" s="23" t="s">
        <v>234</v>
      </c>
      <c r="H10" s="23" t="s">
        <v>235</v>
      </c>
      <c r="I10" s="23" t="s">
        <v>259</v>
      </c>
      <c r="J10" s="39" t="s">
        <v>260</v>
      </c>
      <c r="K10" s="39" t="s">
        <v>238</v>
      </c>
      <c r="L10" s="23" t="s">
        <v>240</v>
      </c>
      <c r="M10" s="39" t="s">
        <v>240</v>
      </c>
      <c r="N10" s="39" t="str">
        <f t="shared" si="0"/>
        <v>抖音、快手偏好客户</v>
      </c>
      <c r="O10" s="39" t="s">
        <v>241</v>
      </c>
    </row>
    <row r="11" s="33" customFormat="1" customHeight="1" spans="1:15">
      <c r="A11" s="23">
        <v>10</v>
      </c>
      <c r="B11" s="23"/>
      <c r="C11" s="39" t="s">
        <v>250</v>
      </c>
      <c r="D11" s="23" t="s">
        <v>231</v>
      </c>
      <c r="E11" s="23" t="s">
        <v>232</v>
      </c>
      <c r="F11" s="39" t="s">
        <v>233</v>
      </c>
      <c r="G11" s="23" t="s">
        <v>234</v>
      </c>
      <c r="H11" s="39" t="s">
        <v>235</v>
      </c>
      <c r="I11" s="39"/>
      <c r="J11" s="39" t="s">
        <v>260</v>
      </c>
      <c r="K11" s="39" t="s">
        <v>238</v>
      </c>
      <c r="L11" s="23" t="s">
        <v>240</v>
      </c>
      <c r="M11" s="39" t="s">
        <v>263</v>
      </c>
      <c r="N11" s="39" t="str">
        <f t="shared" si="0"/>
        <v>全职妈妈</v>
      </c>
      <c r="O11" s="39" t="s">
        <v>241</v>
      </c>
    </row>
    <row r="12" s="33" customFormat="1" customHeight="1" spans="1:15">
      <c r="A12" s="23">
        <v>11</v>
      </c>
      <c r="B12" s="23"/>
      <c r="C12" s="39" t="s">
        <v>254</v>
      </c>
      <c r="D12" s="39" t="s">
        <v>243</v>
      </c>
      <c r="E12" s="39" t="s">
        <v>244</v>
      </c>
      <c r="F12" s="39" t="s">
        <v>233</v>
      </c>
      <c r="G12" s="23" t="s">
        <v>234</v>
      </c>
      <c r="H12" s="39" t="s">
        <v>246</v>
      </c>
      <c r="I12" s="39"/>
      <c r="J12" s="39" t="s">
        <v>260</v>
      </c>
      <c r="K12" s="39" t="s">
        <v>238</v>
      </c>
      <c r="L12" s="23" t="s">
        <v>240</v>
      </c>
      <c r="M12" s="39" t="s">
        <v>240</v>
      </c>
      <c r="N12" s="39" t="str">
        <f t="shared" si="0"/>
        <v>在校大学生</v>
      </c>
      <c r="O12" s="39" t="s">
        <v>241</v>
      </c>
    </row>
    <row r="13" s="33" customFormat="1" customHeight="1" spans="1:15">
      <c r="A13" s="23">
        <v>12</v>
      </c>
      <c r="B13" s="23"/>
      <c r="C13" s="39" t="s">
        <v>256</v>
      </c>
      <c r="D13" s="39" t="s">
        <v>264</v>
      </c>
      <c r="E13" s="39" t="s">
        <v>232</v>
      </c>
      <c r="F13" s="39" t="s">
        <v>233</v>
      </c>
      <c r="G13" s="23" t="s">
        <v>234</v>
      </c>
      <c r="H13" s="40" t="s">
        <v>235</v>
      </c>
      <c r="I13" s="39" t="s">
        <v>265</v>
      </c>
      <c r="J13" s="39" t="s">
        <v>260</v>
      </c>
      <c r="K13" s="39" t="s">
        <v>238</v>
      </c>
      <c r="L13" s="23" t="s">
        <v>240</v>
      </c>
      <c r="M13" s="39" t="s">
        <v>240</v>
      </c>
      <c r="N13" s="39" t="str">
        <f t="shared" si="0"/>
        <v>务工人员</v>
      </c>
      <c r="O13" s="39" t="s">
        <v>241</v>
      </c>
    </row>
    <row r="14" s="33" customFormat="1" customHeight="1" spans="1:15">
      <c r="A14" s="23">
        <v>3</v>
      </c>
      <c r="B14" s="23" t="str">
        <f>[1]场景名称库!D4</f>
        <v>新入网场景</v>
      </c>
      <c r="C14" s="39" t="s">
        <v>230</v>
      </c>
      <c r="D14" s="23" t="s">
        <v>249</v>
      </c>
      <c r="E14" s="23" t="s">
        <v>244</v>
      </c>
      <c r="F14" s="13" t="s">
        <v>233</v>
      </c>
      <c r="G14" s="39" t="s">
        <v>234</v>
      </c>
      <c r="H14" s="39" t="s">
        <v>235</v>
      </c>
      <c r="I14" s="39" t="s">
        <v>266</v>
      </c>
      <c r="J14" s="39" t="s">
        <v>260</v>
      </c>
      <c r="K14" s="39" t="s">
        <v>238</v>
      </c>
      <c r="L14" s="39" t="s">
        <v>267</v>
      </c>
      <c r="M14" s="39" t="s">
        <v>240</v>
      </c>
      <c r="N14" s="39" t="str">
        <f t="shared" si="0"/>
        <v>职场青年</v>
      </c>
      <c r="O14" s="39" t="s">
        <v>241</v>
      </c>
    </row>
    <row r="15" s="33" customFormat="1" customHeight="1" spans="1:15">
      <c r="A15" s="23">
        <v>14</v>
      </c>
      <c r="B15" s="23"/>
      <c r="C15" s="39" t="s">
        <v>242</v>
      </c>
      <c r="D15" s="23" t="s">
        <v>268</v>
      </c>
      <c r="E15" s="23" t="s">
        <v>232</v>
      </c>
      <c r="F15" s="39" t="s">
        <v>269</v>
      </c>
      <c r="G15" s="23" t="s">
        <v>258</v>
      </c>
      <c r="H15" s="22" t="s">
        <v>252</v>
      </c>
      <c r="I15" s="23" t="s">
        <v>259</v>
      </c>
      <c r="J15" s="39" t="s">
        <v>270</v>
      </c>
      <c r="K15" s="39" t="s">
        <v>238</v>
      </c>
      <c r="L15" s="39" t="s">
        <v>239</v>
      </c>
      <c r="M15" s="39" t="s">
        <v>271</v>
      </c>
      <c r="N15" s="39" t="str">
        <f t="shared" si="0"/>
        <v>高龄独居老人</v>
      </c>
      <c r="O15" s="39" t="s">
        <v>241</v>
      </c>
    </row>
    <row r="16" s="33" customFormat="1" customHeight="1" spans="1:15">
      <c r="A16" s="23">
        <v>15</v>
      </c>
      <c r="B16" s="23"/>
      <c r="C16" s="39" t="s">
        <v>248</v>
      </c>
      <c r="D16" s="23" t="s">
        <v>264</v>
      </c>
      <c r="E16" s="23" t="s">
        <v>244</v>
      </c>
      <c r="F16" s="13" t="s">
        <v>233</v>
      </c>
      <c r="G16" s="23" t="s">
        <v>234</v>
      </c>
      <c r="H16" s="39" t="s">
        <v>235</v>
      </c>
      <c r="I16" s="39" t="s">
        <v>266</v>
      </c>
      <c r="J16" s="39" t="s">
        <v>272</v>
      </c>
      <c r="K16" s="39" t="s">
        <v>238</v>
      </c>
      <c r="L16" s="39" t="s">
        <v>239</v>
      </c>
      <c r="M16" s="39" t="s">
        <v>240</v>
      </c>
      <c r="N16" s="39" t="str">
        <f t="shared" si="0"/>
        <v>务工人员</v>
      </c>
      <c r="O16" s="39" t="s">
        <v>273</v>
      </c>
    </row>
    <row r="17" s="33" customFormat="1" customHeight="1" spans="1:15">
      <c r="A17" s="23">
        <v>16</v>
      </c>
      <c r="B17" s="23"/>
      <c r="C17" s="39" t="s">
        <v>250</v>
      </c>
      <c r="D17" s="23" t="s">
        <v>251</v>
      </c>
      <c r="E17" s="23" t="s">
        <v>244</v>
      </c>
      <c r="F17" s="13" t="s">
        <v>269</v>
      </c>
      <c r="G17" s="23" t="s">
        <v>258</v>
      </c>
      <c r="H17" s="39" t="s">
        <v>235</v>
      </c>
      <c r="I17" s="23" t="s">
        <v>259</v>
      </c>
      <c r="J17" s="39" t="s">
        <v>274</v>
      </c>
      <c r="K17" s="39" t="s">
        <v>238</v>
      </c>
      <c r="L17" s="39" t="s">
        <v>275</v>
      </c>
      <c r="M17" s="39" t="s">
        <v>240</v>
      </c>
      <c r="N17" s="39" t="str">
        <f t="shared" si="0"/>
        <v>商务人士</v>
      </c>
      <c r="O17" s="39" t="s">
        <v>241</v>
      </c>
    </row>
    <row r="18" s="33" customFormat="1" customHeight="1" spans="1:15">
      <c r="A18" s="23">
        <v>17</v>
      </c>
      <c r="B18" s="23"/>
      <c r="C18" s="39" t="s">
        <v>254</v>
      </c>
      <c r="D18" s="23" t="s">
        <v>268</v>
      </c>
      <c r="E18" s="23" t="s">
        <v>244</v>
      </c>
      <c r="F18" s="13" t="s">
        <v>276</v>
      </c>
      <c r="G18" s="23" t="s">
        <v>234</v>
      </c>
      <c r="H18" s="39" t="s">
        <v>277</v>
      </c>
      <c r="I18" s="23" t="s">
        <v>259</v>
      </c>
      <c r="J18" s="39" t="s">
        <v>278</v>
      </c>
      <c r="K18" s="39" t="s">
        <v>238</v>
      </c>
      <c r="L18" s="39" t="s">
        <v>239</v>
      </c>
      <c r="M18" s="39" t="s">
        <v>240</v>
      </c>
      <c r="N18" s="39" t="str">
        <f t="shared" si="0"/>
        <v>高龄独居老人</v>
      </c>
      <c r="O18" s="39" t="s">
        <v>241</v>
      </c>
    </row>
    <row r="19" s="33" customFormat="1" customHeight="1" spans="1:15">
      <c r="A19" s="23">
        <v>18</v>
      </c>
      <c r="B19" s="23"/>
      <c r="C19" s="39" t="s">
        <v>256</v>
      </c>
      <c r="D19" s="23" t="s">
        <v>279</v>
      </c>
      <c r="E19" s="23" t="s">
        <v>232</v>
      </c>
      <c r="F19" s="41" t="s">
        <v>276</v>
      </c>
      <c r="G19" s="23" t="s">
        <v>234</v>
      </c>
      <c r="H19" s="39" t="s">
        <v>246</v>
      </c>
      <c r="I19" s="39" t="s">
        <v>280</v>
      </c>
      <c r="J19" s="39" t="s">
        <v>260</v>
      </c>
      <c r="K19" s="39" t="s">
        <v>238</v>
      </c>
      <c r="L19" s="39" t="s">
        <v>267</v>
      </c>
      <c r="M19" s="39" t="s">
        <v>240</v>
      </c>
      <c r="N19" s="39" t="str">
        <f t="shared" si="0"/>
        <v>高中毕业生</v>
      </c>
      <c r="O19" s="39" t="s">
        <v>241</v>
      </c>
    </row>
    <row r="20" s="33" customFormat="1" customHeight="1" spans="1:15">
      <c r="A20" s="23">
        <v>4</v>
      </c>
      <c r="B20" s="23" t="s">
        <v>281</v>
      </c>
      <c r="C20" s="39" t="s">
        <v>230</v>
      </c>
      <c r="D20" s="23" t="s">
        <v>268</v>
      </c>
      <c r="E20" s="23" t="s">
        <v>244</v>
      </c>
      <c r="F20" s="39" t="s">
        <v>233</v>
      </c>
      <c r="G20" s="39" t="s">
        <v>245</v>
      </c>
      <c r="H20" s="39" t="s">
        <v>277</v>
      </c>
      <c r="I20" s="39" t="s">
        <v>282</v>
      </c>
      <c r="J20" s="39" t="s">
        <v>237</v>
      </c>
      <c r="K20" s="39" t="s">
        <v>283</v>
      </c>
      <c r="L20" s="39" t="s">
        <v>239</v>
      </c>
      <c r="M20" s="39" t="s">
        <v>240</v>
      </c>
      <c r="N20" s="39" t="str">
        <f t="shared" si="0"/>
        <v>高龄独居老人</v>
      </c>
      <c r="O20" s="39" t="s">
        <v>241</v>
      </c>
    </row>
    <row r="21" customHeight="1" spans="1:15">
      <c r="A21" s="23">
        <v>20</v>
      </c>
      <c r="B21" s="23"/>
      <c r="C21" s="39" t="s">
        <v>242</v>
      </c>
      <c r="D21" s="23" t="s">
        <v>257</v>
      </c>
      <c r="E21" s="23" t="s">
        <v>244</v>
      </c>
      <c r="F21" s="39" t="s">
        <v>233</v>
      </c>
      <c r="G21" s="39" t="s">
        <v>245</v>
      </c>
      <c r="H21" s="39" t="s">
        <v>284</v>
      </c>
      <c r="I21" s="39" t="s">
        <v>282</v>
      </c>
      <c r="J21" s="39" t="s">
        <v>237</v>
      </c>
      <c r="K21" s="39" t="s">
        <v>283</v>
      </c>
      <c r="L21" s="39" t="s">
        <v>239</v>
      </c>
      <c r="M21" s="39" t="s">
        <v>240</v>
      </c>
      <c r="N21" s="39" t="str">
        <f t="shared" si="0"/>
        <v>个体工商户</v>
      </c>
      <c r="O21" s="39" t="s">
        <v>241</v>
      </c>
    </row>
    <row r="22" customHeight="1" spans="1:15">
      <c r="A22" s="23">
        <v>21</v>
      </c>
      <c r="B22" s="23"/>
      <c r="C22" s="39" t="s">
        <v>248</v>
      </c>
      <c r="D22" s="23" t="s">
        <v>243</v>
      </c>
      <c r="E22" s="23" t="s">
        <v>244</v>
      </c>
      <c r="F22" s="39" t="s">
        <v>233</v>
      </c>
      <c r="G22" s="39" t="s">
        <v>245</v>
      </c>
      <c r="H22" s="39" t="s">
        <v>246</v>
      </c>
      <c r="I22" s="39" t="s">
        <v>282</v>
      </c>
      <c r="J22" s="39" t="s">
        <v>237</v>
      </c>
      <c r="K22" s="39" t="s">
        <v>283</v>
      </c>
      <c r="L22" s="39" t="s">
        <v>239</v>
      </c>
      <c r="M22" s="39" t="s">
        <v>240</v>
      </c>
      <c r="N22" s="39" t="str">
        <f t="shared" si="0"/>
        <v>在校大学生</v>
      </c>
      <c r="O22" s="39" t="s">
        <v>241</v>
      </c>
    </row>
    <row r="23" customHeight="1" spans="1:15">
      <c r="A23" s="23">
        <v>22</v>
      </c>
      <c r="B23" s="23"/>
      <c r="C23" s="39" t="s">
        <v>250</v>
      </c>
      <c r="D23" s="23" t="s">
        <v>249</v>
      </c>
      <c r="E23" s="23" t="s">
        <v>244</v>
      </c>
      <c r="F23" s="39" t="s">
        <v>233</v>
      </c>
      <c r="G23" s="39" t="s">
        <v>245</v>
      </c>
      <c r="H23" s="39" t="s">
        <v>235</v>
      </c>
      <c r="I23" s="39" t="s">
        <v>282</v>
      </c>
      <c r="J23" s="39" t="s">
        <v>237</v>
      </c>
      <c r="K23" s="39" t="s">
        <v>283</v>
      </c>
      <c r="L23" s="39" t="s">
        <v>239</v>
      </c>
      <c r="M23" s="39" t="s">
        <v>240</v>
      </c>
      <c r="N23" s="39" t="str">
        <f t="shared" si="0"/>
        <v>职场青年</v>
      </c>
      <c r="O23" s="39" t="s">
        <v>241</v>
      </c>
    </row>
    <row r="24" customHeight="1" spans="1:15">
      <c r="A24" s="23">
        <v>23</v>
      </c>
      <c r="B24" s="23"/>
      <c r="C24" s="39" t="s">
        <v>254</v>
      </c>
      <c r="D24" s="23" t="s">
        <v>231</v>
      </c>
      <c r="E24" s="23" t="s">
        <v>232</v>
      </c>
      <c r="F24" s="39" t="s">
        <v>233</v>
      </c>
      <c r="G24" s="39" t="s">
        <v>245</v>
      </c>
      <c r="H24" s="39" t="s">
        <v>235</v>
      </c>
      <c r="I24" s="39" t="s">
        <v>282</v>
      </c>
      <c r="J24" s="39" t="s">
        <v>237</v>
      </c>
      <c r="K24" s="39" t="s">
        <v>283</v>
      </c>
      <c r="L24" s="39" t="s">
        <v>239</v>
      </c>
      <c r="M24" s="39" t="s">
        <v>240</v>
      </c>
      <c r="N24" s="39" t="str">
        <f t="shared" si="0"/>
        <v>全职妈妈</v>
      </c>
      <c r="O24" s="39" t="s">
        <v>241</v>
      </c>
    </row>
    <row r="25" customHeight="1" spans="1:15">
      <c r="A25" s="23">
        <v>24</v>
      </c>
      <c r="B25" s="23"/>
      <c r="C25" s="39" t="s">
        <v>256</v>
      </c>
      <c r="D25" s="23" t="s">
        <v>264</v>
      </c>
      <c r="E25" s="23" t="s">
        <v>244</v>
      </c>
      <c r="F25" s="39" t="s">
        <v>233</v>
      </c>
      <c r="G25" s="39" t="s">
        <v>245</v>
      </c>
      <c r="H25" s="39" t="s">
        <v>235</v>
      </c>
      <c r="I25" s="39" t="s">
        <v>282</v>
      </c>
      <c r="J25" s="39" t="s">
        <v>237</v>
      </c>
      <c r="K25" s="39" t="s">
        <v>283</v>
      </c>
      <c r="L25" s="39" t="s">
        <v>239</v>
      </c>
      <c r="M25" s="39" t="s">
        <v>240</v>
      </c>
      <c r="N25" s="39" t="str">
        <f t="shared" si="0"/>
        <v>务工人员</v>
      </c>
      <c r="O25" s="39" t="s">
        <v>241</v>
      </c>
    </row>
    <row r="26" customHeight="1" spans="1:15">
      <c r="A26" s="23">
        <v>5</v>
      </c>
      <c r="B26" s="23" t="str">
        <f>[1]场景名称库!D6</f>
        <v>终端换机客户</v>
      </c>
      <c r="C26" s="39" t="s">
        <v>230</v>
      </c>
      <c r="D26" s="23" t="s">
        <v>279</v>
      </c>
      <c r="E26" s="23" t="s">
        <v>232</v>
      </c>
      <c r="F26" s="22" t="s">
        <v>233</v>
      </c>
      <c r="G26" s="22" t="s">
        <v>285</v>
      </c>
      <c r="H26" s="22" t="s">
        <v>246</v>
      </c>
      <c r="I26" s="22" t="s">
        <v>286</v>
      </c>
      <c r="J26" s="22" t="s">
        <v>260</v>
      </c>
      <c r="K26" s="22" t="s">
        <v>238</v>
      </c>
      <c r="L26" s="22" t="s">
        <v>239</v>
      </c>
      <c r="M26" s="39" t="s">
        <v>240</v>
      </c>
      <c r="N26" s="39" t="str">
        <f t="shared" si="0"/>
        <v>高中毕业生</v>
      </c>
      <c r="O26" s="22" t="s">
        <v>241</v>
      </c>
    </row>
    <row r="27" customHeight="1" spans="1:15">
      <c r="A27" s="23">
        <v>26</v>
      </c>
      <c r="B27" s="23"/>
      <c r="C27" s="39" t="s">
        <v>242</v>
      </c>
      <c r="D27" s="23" t="s">
        <v>243</v>
      </c>
      <c r="E27" s="23" t="s">
        <v>244</v>
      </c>
      <c r="F27" s="22" t="s">
        <v>276</v>
      </c>
      <c r="G27" s="22" t="s">
        <v>245</v>
      </c>
      <c r="H27" s="22" t="s">
        <v>246</v>
      </c>
      <c r="I27" s="22" t="s">
        <v>265</v>
      </c>
      <c r="J27" s="22" t="s">
        <v>237</v>
      </c>
      <c r="K27" s="22" t="s">
        <v>287</v>
      </c>
      <c r="L27" s="22" t="s">
        <v>239</v>
      </c>
      <c r="M27" s="39" t="s">
        <v>240</v>
      </c>
      <c r="N27" s="39" t="str">
        <f t="shared" si="0"/>
        <v>在校大学生</v>
      </c>
      <c r="O27" s="22" t="s">
        <v>241</v>
      </c>
    </row>
    <row r="28" customHeight="1" spans="1:15">
      <c r="A28" s="23">
        <v>27</v>
      </c>
      <c r="B28" s="23"/>
      <c r="C28" s="39" t="s">
        <v>248</v>
      </c>
      <c r="D28" s="23" t="s">
        <v>249</v>
      </c>
      <c r="E28" s="23" t="s">
        <v>244</v>
      </c>
      <c r="F28" s="22" t="s">
        <v>276</v>
      </c>
      <c r="G28" s="22" t="s">
        <v>288</v>
      </c>
      <c r="H28" s="22" t="s">
        <v>235</v>
      </c>
      <c r="I28" s="22" t="s">
        <v>266</v>
      </c>
      <c r="J28" s="22" t="s">
        <v>289</v>
      </c>
      <c r="K28" s="22" t="s">
        <v>290</v>
      </c>
      <c r="L28" s="22" t="s">
        <v>239</v>
      </c>
      <c r="M28" s="39" t="s">
        <v>240</v>
      </c>
      <c r="N28" s="39" t="str">
        <f t="shared" si="0"/>
        <v>职场青年</v>
      </c>
      <c r="O28" s="22" t="s">
        <v>241</v>
      </c>
    </row>
    <row r="29" customHeight="1" spans="1:15">
      <c r="A29" s="23">
        <v>28</v>
      </c>
      <c r="B29" s="23"/>
      <c r="C29" s="39" t="s">
        <v>250</v>
      </c>
      <c r="D29" s="23" t="s">
        <v>268</v>
      </c>
      <c r="E29" s="23" t="s">
        <v>244</v>
      </c>
      <c r="F29" s="22" t="s">
        <v>233</v>
      </c>
      <c r="G29" s="22" t="s">
        <v>285</v>
      </c>
      <c r="H29" s="22" t="s">
        <v>252</v>
      </c>
      <c r="I29" s="22" t="s">
        <v>291</v>
      </c>
      <c r="J29" s="22" t="s">
        <v>272</v>
      </c>
      <c r="K29" s="22" t="s">
        <v>238</v>
      </c>
      <c r="L29" s="39" t="s">
        <v>239</v>
      </c>
      <c r="M29" s="39" t="s">
        <v>240</v>
      </c>
      <c r="N29" s="39" t="str">
        <f t="shared" si="0"/>
        <v>高龄独居老人</v>
      </c>
      <c r="O29" s="22" t="s">
        <v>292</v>
      </c>
    </row>
    <row r="30" customHeight="1" spans="1:15">
      <c r="A30" s="23">
        <v>29</v>
      </c>
      <c r="B30" s="23"/>
      <c r="C30" s="39" t="s">
        <v>254</v>
      </c>
      <c r="D30" s="23" t="s">
        <v>243</v>
      </c>
      <c r="E30" s="23" t="s">
        <v>244</v>
      </c>
      <c r="F30" s="22" t="s">
        <v>233</v>
      </c>
      <c r="G30" s="22" t="s">
        <v>288</v>
      </c>
      <c r="H30" s="39" t="s">
        <v>246</v>
      </c>
      <c r="I30" s="22" t="s">
        <v>293</v>
      </c>
      <c r="J30" s="22" t="s">
        <v>289</v>
      </c>
      <c r="K30" s="22" t="s">
        <v>294</v>
      </c>
      <c r="L30" s="22" t="s">
        <v>239</v>
      </c>
      <c r="M30" s="39" t="s">
        <v>240</v>
      </c>
      <c r="N30" s="39" t="str">
        <f t="shared" si="0"/>
        <v>在校大学生</v>
      </c>
      <c r="O30" s="22" t="s">
        <v>241</v>
      </c>
    </row>
    <row r="31" customHeight="1" spans="1:15">
      <c r="A31" s="23">
        <v>30</v>
      </c>
      <c r="B31" s="23"/>
      <c r="C31" s="39" t="s">
        <v>256</v>
      </c>
      <c r="D31" s="23" t="s">
        <v>249</v>
      </c>
      <c r="E31" s="23" t="s">
        <v>244</v>
      </c>
      <c r="F31" s="22" t="s">
        <v>233</v>
      </c>
      <c r="G31" s="22" t="s">
        <v>288</v>
      </c>
      <c r="H31" s="22" t="s">
        <v>235</v>
      </c>
      <c r="I31" s="22" t="s">
        <v>293</v>
      </c>
      <c r="J31" s="22" t="s">
        <v>289</v>
      </c>
      <c r="K31" s="22" t="s">
        <v>294</v>
      </c>
      <c r="L31" s="22" t="s">
        <v>239</v>
      </c>
      <c r="M31" s="39" t="s">
        <v>240</v>
      </c>
      <c r="N31" s="39" t="str">
        <f t="shared" si="0"/>
        <v>职场青年</v>
      </c>
      <c r="O31" s="22" t="s">
        <v>241</v>
      </c>
    </row>
    <row r="32" customHeight="1" spans="1:15">
      <c r="A32" s="23">
        <v>6</v>
      </c>
      <c r="B32" s="23" t="str">
        <f>[1]场景名称库!D7</f>
        <v>流量运营</v>
      </c>
      <c r="C32" s="39" t="s">
        <v>230</v>
      </c>
      <c r="D32" s="23" t="s">
        <v>231</v>
      </c>
      <c r="E32" s="23" t="s">
        <v>232</v>
      </c>
      <c r="F32" s="39" t="s">
        <v>233</v>
      </c>
      <c r="G32" s="39" t="s">
        <v>234</v>
      </c>
      <c r="H32" s="39" t="s">
        <v>235</v>
      </c>
      <c r="I32" s="39" t="s">
        <v>236</v>
      </c>
      <c r="J32" s="39" t="s">
        <v>237</v>
      </c>
      <c r="K32" s="39" t="s">
        <v>238</v>
      </c>
      <c r="L32" s="39" t="s">
        <v>239</v>
      </c>
      <c r="M32" s="39" t="s">
        <v>240</v>
      </c>
      <c r="N32" s="39" t="str">
        <f t="shared" si="0"/>
        <v>全职妈妈</v>
      </c>
      <c r="O32" s="39" t="s">
        <v>241</v>
      </c>
    </row>
    <row r="33" customHeight="1" spans="1:15">
      <c r="A33" s="23">
        <v>32</v>
      </c>
      <c r="B33" s="23"/>
      <c r="C33" s="39" t="s">
        <v>242</v>
      </c>
      <c r="D33" s="23" t="s">
        <v>262</v>
      </c>
      <c r="E33" s="23" t="s">
        <v>232</v>
      </c>
      <c r="F33" s="39" t="s">
        <v>233</v>
      </c>
      <c r="G33" s="39" t="s">
        <v>245</v>
      </c>
      <c r="H33" s="39" t="s">
        <v>246</v>
      </c>
      <c r="I33" s="39" t="s">
        <v>247</v>
      </c>
      <c r="J33" s="39" t="s">
        <v>237</v>
      </c>
      <c r="K33" s="39" t="s">
        <v>238</v>
      </c>
      <c r="L33" s="39" t="s">
        <v>239</v>
      </c>
      <c r="M33" s="39" t="s">
        <v>240</v>
      </c>
      <c r="N33" s="39" t="str">
        <f t="shared" si="0"/>
        <v>抖音、快手偏好客户</v>
      </c>
      <c r="O33" s="39" t="s">
        <v>241</v>
      </c>
    </row>
    <row r="34" customHeight="1" spans="1:15">
      <c r="A34" s="23">
        <v>33</v>
      </c>
      <c r="B34" s="23"/>
      <c r="C34" s="39" t="s">
        <v>248</v>
      </c>
      <c r="D34" s="23" t="s">
        <v>249</v>
      </c>
      <c r="E34" s="23" t="s">
        <v>232</v>
      </c>
      <c r="F34" s="39" t="s">
        <v>233</v>
      </c>
      <c r="G34" s="39" t="s">
        <v>245</v>
      </c>
      <c r="H34" s="39" t="s">
        <v>235</v>
      </c>
      <c r="I34" s="39" t="s">
        <v>236</v>
      </c>
      <c r="J34" s="39" t="s">
        <v>237</v>
      </c>
      <c r="K34" s="39" t="s">
        <v>238</v>
      </c>
      <c r="L34" s="39" t="s">
        <v>239</v>
      </c>
      <c r="M34" s="39" t="s">
        <v>240</v>
      </c>
      <c r="N34" s="39" t="str">
        <f t="shared" si="0"/>
        <v>职场青年</v>
      </c>
      <c r="O34" s="39" t="s">
        <v>241</v>
      </c>
    </row>
    <row r="35" customHeight="1" spans="1:15">
      <c r="A35" s="23">
        <v>34</v>
      </c>
      <c r="B35" s="23"/>
      <c r="C35" s="39" t="s">
        <v>250</v>
      </c>
      <c r="D35" s="23" t="s">
        <v>251</v>
      </c>
      <c r="E35" s="23" t="s">
        <v>244</v>
      </c>
      <c r="F35" s="39" t="s">
        <v>233</v>
      </c>
      <c r="G35" s="39" t="s">
        <v>245</v>
      </c>
      <c r="H35" s="39" t="s">
        <v>252</v>
      </c>
      <c r="I35" s="39" t="s">
        <v>236</v>
      </c>
      <c r="J35" s="39" t="s">
        <v>253</v>
      </c>
      <c r="K35" s="39" t="s">
        <v>238</v>
      </c>
      <c r="L35" s="39" t="s">
        <v>239</v>
      </c>
      <c r="M35" s="39" t="s">
        <v>240</v>
      </c>
      <c r="N35" s="39" t="str">
        <f t="shared" si="0"/>
        <v>商务人士</v>
      </c>
      <c r="O35" s="39" t="s">
        <v>241</v>
      </c>
    </row>
    <row r="36" customHeight="1" spans="1:15">
      <c r="A36" s="23">
        <v>35</v>
      </c>
      <c r="B36" s="23"/>
      <c r="C36" s="39" t="s">
        <v>254</v>
      </c>
      <c r="D36" s="23" t="s">
        <v>255</v>
      </c>
      <c r="E36" s="23" t="s">
        <v>244</v>
      </c>
      <c r="F36" s="39" t="s">
        <v>233</v>
      </c>
      <c r="G36" s="39" t="s">
        <v>245</v>
      </c>
      <c r="H36" s="39" t="s">
        <v>235</v>
      </c>
      <c r="I36" s="39" t="s">
        <v>247</v>
      </c>
      <c r="J36" s="39" t="s">
        <v>253</v>
      </c>
      <c r="K36" s="39" t="s">
        <v>238</v>
      </c>
      <c r="L36" s="39" t="s">
        <v>239</v>
      </c>
      <c r="M36" s="39" t="s">
        <v>240</v>
      </c>
      <c r="N36" s="39" t="str">
        <f t="shared" si="0"/>
        <v>集团AB类用户</v>
      </c>
      <c r="O36" s="39" t="s">
        <v>241</v>
      </c>
    </row>
    <row r="37" customHeight="1" spans="1:15">
      <c r="A37" s="23">
        <v>36</v>
      </c>
      <c r="B37" s="23"/>
      <c r="C37" s="39" t="s">
        <v>256</v>
      </c>
      <c r="D37" s="23" t="s">
        <v>257</v>
      </c>
      <c r="E37" s="23" t="s">
        <v>244</v>
      </c>
      <c r="F37" s="39" t="s">
        <v>233</v>
      </c>
      <c r="G37" s="39" t="s">
        <v>245</v>
      </c>
      <c r="H37" s="39" t="s">
        <v>235</v>
      </c>
      <c r="I37" s="39" t="s">
        <v>236</v>
      </c>
      <c r="J37" s="39" t="s">
        <v>253</v>
      </c>
      <c r="K37" s="39" t="s">
        <v>238</v>
      </c>
      <c r="L37" s="39" t="s">
        <v>239</v>
      </c>
      <c r="M37" s="39" t="s">
        <v>240</v>
      </c>
      <c r="N37" s="39" t="str">
        <f t="shared" si="0"/>
        <v>个体工商户</v>
      </c>
      <c r="O37" s="39" t="s">
        <v>241</v>
      </c>
    </row>
    <row r="38" s="34" customFormat="1" customHeight="1" spans="1:16">
      <c r="A38" s="23">
        <v>7</v>
      </c>
      <c r="B38" s="23" t="str">
        <f>[1]场景名称库!D8</f>
        <v>到期续约</v>
      </c>
      <c r="C38" s="39" t="s">
        <v>230</v>
      </c>
      <c r="D38" s="8" t="s">
        <v>249</v>
      </c>
      <c r="E38" s="23" t="s">
        <v>244</v>
      </c>
      <c r="F38" s="39" t="s">
        <v>269</v>
      </c>
      <c r="G38" s="42" t="s">
        <v>295</v>
      </c>
      <c r="H38" s="39" t="s">
        <v>235</v>
      </c>
      <c r="I38" s="43" t="s">
        <v>296</v>
      </c>
      <c r="J38" s="39" t="s">
        <v>272</v>
      </c>
      <c r="K38" s="39" t="s">
        <v>283</v>
      </c>
      <c r="L38" s="23" t="s">
        <v>240</v>
      </c>
      <c r="M38" s="39" t="s">
        <v>240</v>
      </c>
      <c r="N38" s="39" t="str">
        <f t="shared" si="0"/>
        <v>职场青年</v>
      </c>
      <c r="O38" s="39" t="s">
        <v>241</v>
      </c>
      <c r="P38" s="44"/>
    </row>
    <row r="39" s="34" customFormat="1" customHeight="1" spans="1:16">
      <c r="A39" s="23">
        <v>38</v>
      </c>
      <c r="B39" s="23"/>
      <c r="C39" s="39" t="s">
        <v>242</v>
      </c>
      <c r="D39" s="8" t="s">
        <v>264</v>
      </c>
      <c r="E39" s="23" t="s">
        <v>244</v>
      </c>
      <c r="F39" s="39" t="s">
        <v>269</v>
      </c>
      <c r="G39" s="42" t="s">
        <v>295</v>
      </c>
      <c r="H39" s="39" t="s">
        <v>235</v>
      </c>
      <c r="I39" s="43" t="s">
        <v>293</v>
      </c>
      <c r="J39" s="39" t="s">
        <v>253</v>
      </c>
      <c r="K39" s="39" t="s">
        <v>283</v>
      </c>
      <c r="L39" s="23" t="s">
        <v>240</v>
      </c>
      <c r="M39" s="39" t="s">
        <v>240</v>
      </c>
      <c r="N39" s="39" t="str">
        <f t="shared" si="0"/>
        <v>务工人员</v>
      </c>
      <c r="O39" s="39" t="s">
        <v>241</v>
      </c>
      <c r="P39" s="44"/>
    </row>
    <row r="40" s="34" customFormat="1" customHeight="1" spans="1:16">
      <c r="A40" s="23">
        <v>39</v>
      </c>
      <c r="B40" s="23"/>
      <c r="C40" s="39" t="s">
        <v>248</v>
      </c>
      <c r="D40" s="8" t="s">
        <v>231</v>
      </c>
      <c r="E40" s="23" t="s">
        <v>232</v>
      </c>
      <c r="F40" s="39" t="s">
        <v>269</v>
      </c>
      <c r="G40" s="42" t="s">
        <v>258</v>
      </c>
      <c r="H40" s="39" t="s">
        <v>235</v>
      </c>
      <c r="I40" s="43" t="s">
        <v>293</v>
      </c>
      <c r="J40" s="39" t="s">
        <v>253</v>
      </c>
      <c r="K40" s="39" t="s">
        <v>238</v>
      </c>
      <c r="L40" s="23" t="s">
        <v>240</v>
      </c>
      <c r="M40" s="39" t="s">
        <v>271</v>
      </c>
      <c r="N40" s="39" t="str">
        <f t="shared" si="0"/>
        <v>全职妈妈</v>
      </c>
      <c r="O40" s="39" t="s">
        <v>241</v>
      </c>
      <c r="P40" s="44"/>
    </row>
    <row r="41" s="34" customFormat="1" customHeight="1" spans="1:16">
      <c r="A41" s="23">
        <v>40</v>
      </c>
      <c r="B41" s="23"/>
      <c r="C41" s="39" t="s">
        <v>250</v>
      </c>
      <c r="D41" s="8" t="s">
        <v>251</v>
      </c>
      <c r="E41" s="23" t="s">
        <v>244</v>
      </c>
      <c r="F41" s="39" t="s">
        <v>269</v>
      </c>
      <c r="G41" s="42" t="s">
        <v>258</v>
      </c>
      <c r="H41" s="39" t="s">
        <v>235</v>
      </c>
      <c r="I41" s="43" t="s">
        <v>293</v>
      </c>
      <c r="J41" s="39" t="s">
        <v>253</v>
      </c>
      <c r="K41" s="39" t="s">
        <v>238</v>
      </c>
      <c r="L41" s="23" t="s">
        <v>240</v>
      </c>
      <c r="M41" s="39" t="s">
        <v>240</v>
      </c>
      <c r="N41" s="39" t="str">
        <f t="shared" si="0"/>
        <v>商务人士</v>
      </c>
      <c r="O41" s="39" t="s">
        <v>241</v>
      </c>
      <c r="P41" s="44"/>
    </row>
    <row r="42" s="34" customFormat="1" customHeight="1" spans="1:16">
      <c r="A42" s="23">
        <v>41</v>
      </c>
      <c r="B42" s="23"/>
      <c r="C42" s="39" t="s">
        <v>254</v>
      </c>
      <c r="D42" s="8" t="s">
        <v>262</v>
      </c>
      <c r="E42" s="23" t="s">
        <v>244</v>
      </c>
      <c r="F42" s="39" t="s">
        <v>269</v>
      </c>
      <c r="G42" s="42" t="s">
        <v>258</v>
      </c>
      <c r="H42" s="39" t="s">
        <v>235</v>
      </c>
      <c r="I42" s="43" t="s">
        <v>293</v>
      </c>
      <c r="J42" s="39" t="s">
        <v>253</v>
      </c>
      <c r="K42" s="39" t="s">
        <v>238</v>
      </c>
      <c r="L42" s="23" t="s">
        <v>240</v>
      </c>
      <c r="M42" s="39" t="s">
        <v>240</v>
      </c>
      <c r="N42" s="39" t="str">
        <f t="shared" si="0"/>
        <v>抖音、快手偏好客户</v>
      </c>
      <c r="O42" s="39" t="s">
        <v>241</v>
      </c>
      <c r="P42" s="44"/>
    </row>
    <row r="43" s="34" customFormat="1" customHeight="1" spans="1:16">
      <c r="A43" s="23">
        <v>42</v>
      </c>
      <c r="B43" s="23"/>
      <c r="C43" s="39" t="s">
        <v>256</v>
      </c>
      <c r="D43" s="8" t="s">
        <v>268</v>
      </c>
      <c r="E43" s="23" t="s">
        <v>244</v>
      </c>
      <c r="F43" s="39" t="s">
        <v>269</v>
      </c>
      <c r="G43" s="42" t="s">
        <v>295</v>
      </c>
      <c r="H43" s="9" t="s">
        <v>277</v>
      </c>
      <c r="I43" s="43" t="s">
        <v>296</v>
      </c>
      <c r="J43" s="39" t="s">
        <v>272</v>
      </c>
      <c r="K43" s="39" t="s">
        <v>283</v>
      </c>
      <c r="L43" s="23" t="s">
        <v>240</v>
      </c>
      <c r="M43" s="39" t="s">
        <v>240</v>
      </c>
      <c r="N43" s="39" t="str">
        <f t="shared" si="0"/>
        <v>高龄独居老人</v>
      </c>
      <c r="O43" s="39" t="s">
        <v>241</v>
      </c>
      <c r="P43" s="44"/>
    </row>
    <row r="44" s="34" customFormat="1" customHeight="1" spans="1:16">
      <c r="A44" s="23">
        <v>8</v>
      </c>
      <c r="B44" s="23" t="str">
        <f>[1]场景名称库!D9</f>
        <v>重点客户赢回场景</v>
      </c>
      <c r="C44" s="39" t="s">
        <v>230</v>
      </c>
      <c r="D44" s="8" t="s">
        <v>251</v>
      </c>
      <c r="E44" s="23" t="s">
        <v>244</v>
      </c>
      <c r="F44" s="39" t="s">
        <v>269</v>
      </c>
      <c r="G44" s="39" t="s">
        <v>258</v>
      </c>
      <c r="H44" s="39" t="s">
        <v>235</v>
      </c>
      <c r="I44" s="22" t="s">
        <v>265</v>
      </c>
      <c r="J44" s="39" t="s">
        <v>274</v>
      </c>
      <c r="K44" s="39" t="s">
        <v>238</v>
      </c>
      <c r="L44" s="39" t="s">
        <v>275</v>
      </c>
      <c r="M44" s="39" t="s">
        <v>240</v>
      </c>
      <c r="N44" s="39" t="str">
        <f t="shared" si="0"/>
        <v>商务人士</v>
      </c>
      <c r="O44" s="39" t="s">
        <v>241</v>
      </c>
      <c r="P44" s="44"/>
    </row>
    <row r="45" s="34" customFormat="1" customHeight="1" spans="1:16">
      <c r="A45" s="23">
        <v>44</v>
      </c>
      <c r="B45" s="23"/>
      <c r="C45" s="39" t="s">
        <v>242</v>
      </c>
      <c r="D45" s="8" t="s">
        <v>231</v>
      </c>
      <c r="E45" s="23" t="s">
        <v>232</v>
      </c>
      <c r="F45" s="22" t="s">
        <v>276</v>
      </c>
      <c r="G45" s="22" t="s">
        <v>285</v>
      </c>
      <c r="H45" s="39" t="s">
        <v>235</v>
      </c>
      <c r="I45" s="22" t="s">
        <v>265</v>
      </c>
      <c r="J45" s="39" t="s">
        <v>297</v>
      </c>
      <c r="K45" s="39" t="s">
        <v>238</v>
      </c>
      <c r="L45" s="39" t="s">
        <v>239</v>
      </c>
      <c r="M45" s="39" t="s">
        <v>240</v>
      </c>
      <c r="N45" s="39" t="str">
        <f t="shared" si="0"/>
        <v>全职妈妈</v>
      </c>
      <c r="O45" s="39" t="s">
        <v>241</v>
      </c>
      <c r="P45" s="44"/>
    </row>
    <row r="46" s="34" customFormat="1" customHeight="1" spans="1:16">
      <c r="A46" s="23">
        <v>45</v>
      </c>
      <c r="B46" s="23"/>
      <c r="C46" s="39" t="s">
        <v>248</v>
      </c>
      <c r="D46" s="8" t="s">
        <v>243</v>
      </c>
      <c r="E46" s="23" t="s">
        <v>232</v>
      </c>
      <c r="F46" s="39" t="s">
        <v>269</v>
      </c>
      <c r="G46" s="39" t="s">
        <v>258</v>
      </c>
      <c r="H46" s="39" t="s">
        <v>235</v>
      </c>
      <c r="I46" s="22" t="s">
        <v>265</v>
      </c>
      <c r="J46" s="39" t="s">
        <v>274</v>
      </c>
      <c r="K46" s="39" t="s">
        <v>238</v>
      </c>
      <c r="L46" s="23" t="s">
        <v>240</v>
      </c>
      <c r="M46" s="39" t="s">
        <v>240</v>
      </c>
      <c r="N46" s="39" t="str">
        <f t="shared" si="0"/>
        <v>在校大学生</v>
      </c>
      <c r="O46" s="39" t="s">
        <v>241</v>
      </c>
      <c r="P46" s="44"/>
    </row>
    <row r="47" s="34" customFormat="1" customHeight="1" spans="1:15">
      <c r="A47" s="23">
        <v>46</v>
      </c>
      <c r="B47" s="23"/>
      <c r="C47" s="39" t="s">
        <v>250</v>
      </c>
      <c r="D47" s="8" t="s">
        <v>249</v>
      </c>
      <c r="E47" s="23" t="s">
        <v>232</v>
      </c>
      <c r="F47" s="39" t="s">
        <v>269</v>
      </c>
      <c r="G47" s="39" t="s">
        <v>258</v>
      </c>
      <c r="H47" s="39" t="s">
        <v>235</v>
      </c>
      <c r="I47" s="22" t="s">
        <v>265</v>
      </c>
      <c r="J47" s="39" t="s">
        <v>274</v>
      </c>
      <c r="K47" s="39" t="s">
        <v>238</v>
      </c>
      <c r="L47" s="39" t="s">
        <v>275</v>
      </c>
      <c r="M47" s="39" t="s">
        <v>240</v>
      </c>
      <c r="N47" s="39" t="str">
        <f t="shared" si="0"/>
        <v>职场青年</v>
      </c>
      <c r="O47" s="39" t="s">
        <v>241</v>
      </c>
    </row>
    <row r="48" s="34" customFormat="1" customHeight="1" spans="1:15">
      <c r="A48" s="23">
        <v>47</v>
      </c>
      <c r="B48" s="23"/>
      <c r="C48" s="39" t="s">
        <v>254</v>
      </c>
      <c r="D48" s="8" t="s">
        <v>268</v>
      </c>
      <c r="E48" s="23" t="s">
        <v>244</v>
      </c>
      <c r="F48" s="39" t="s">
        <v>233</v>
      </c>
      <c r="G48" s="22" t="s">
        <v>285</v>
      </c>
      <c r="H48" s="9" t="s">
        <v>277</v>
      </c>
      <c r="I48" s="22" t="s">
        <v>265</v>
      </c>
      <c r="J48" s="39" t="s">
        <v>298</v>
      </c>
      <c r="K48" s="39" t="s">
        <v>283</v>
      </c>
      <c r="L48" s="23" t="s">
        <v>240</v>
      </c>
      <c r="M48" s="39" t="s">
        <v>240</v>
      </c>
      <c r="N48" s="39" t="str">
        <f t="shared" si="0"/>
        <v>高龄独居老人</v>
      </c>
      <c r="O48" s="39" t="s">
        <v>241</v>
      </c>
    </row>
    <row r="49" s="34" customFormat="1" customHeight="1" spans="1:15">
      <c r="A49" s="23">
        <v>48</v>
      </c>
      <c r="B49" s="23"/>
      <c r="C49" s="39" t="s">
        <v>256</v>
      </c>
      <c r="D49" s="8" t="s">
        <v>243</v>
      </c>
      <c r="E49" s="23" t="s">
        <v>244</v>
      </c>
      <c r="F49" s="22" t="s">
        <v>276</v>
      </c>
      <c r="G49" s="22" t="s">
        <v>285</v>
      </c>
      <c r="H49" s="39" t="s">
        <v>246</v>
      </c>
      <c r="I49" s="22" t="s">
        <v>265</v>
      </c>
      <c r="J49" s="39" t="s">
        <v>299</v>
      </c>
      <c r="K49" s="39" t="s">
        <v>238</v>
      </c>
      <c r="L49" s="39" t="s">
        <v>275</v>
      </c>
      <c r="M49" s="39" t="s">
        <v>240</v>
      </c>
      <c r="N49" s="39" t="str">
        <f t="shared" si="0"/>
        <v>在校大学生</v>
      </c>
      <c r="O49" s="39" t="s">
        <v>241</v>
      </c>
    </row>
    <row r="50" customHeight="1" spans="1:15">
      <c r="A50" s="23">
        <v>9</v>
      </c>
      <c r="B50" s="23" t="str">
        <f>[1]场景名称库!D10</f>
        <v>农村场景</v>
      </c>
      <c r="C50" s="39" t="s">
        <v>230</v>
      </c>
      <c r="D50" s="23" t="s">
        <v>300</v>
      </c>
      <c r="E50" s="23" t="s">
        <v>232</v>
      </c>
      <c r="F50" s="39" t="s">
        <v>233</v>
      </c>
      <c r="G50" s="9" t="s">
        <v>295</v>
      </c>
      <c r="H50" s="9" t="s">
        <v>277</v>
      </c>
      <c r="I50" s="9" t="s">
        <v>301</v>
      </c>
      <c r="J50" s="9" t="s">
        <v>272</v>
      </c>
      <c r="K50" s="39" t="s">
        <v>238</v>
      </c>
      <c r="L50" s="23" t="s">
        <v>240</v>
      </c>
      <c r="M50" s="39" t="s">
        <v>240</v>
      </c>
      <c r="N50" s="39" t="str">
        <f t="shared" si="0"/>
        <v>无宽带覆盖低消农村客户</v>
      </c>
      <c r="O50" s="9" t="s">
        <v>292</v>
      </c>
    </row>
    <row r="51" customHeight="1" spans="1:15">
      <c r="A51" s="23">
        <v>50</v>
      </c>
      <c r="B51" s="23"/>
      <c r="C51" s="39" t="s">
        <v>242</v>
      </c>
      <c r="D51" s="23" t="s">
        <v>302</v>
      </c>
      <c r="E51" s="23" t="s">
        <v>244</v>
      </c>
      <c r="F51" s="39" t="s">
        <v>233</v>
      </c>
      <c r="G51" s="9" t="s">
        <v>258</v>
      </c>
      <c r="H51" s="8" t="s">
        <v>235</v>
      </c>
      <c r="I51" s="9" t="s">
        <v>259</v>
      </c>
      <c r="J51" s="9" t="s">
        <v>237</v>
      </c>
      <c r="K51" s="39" t="s">
        <v>238</v>
      </c>
      <c r="L51" s="23" t="s">
        <v>240</v>
      </c>
      <c r="M51" s="39" t="s">
        <v>240</v>
      </c>
      <c r="N51" s="39" t="str">
        <f t="shared" si="0"/>
        <v>无宽带覆盖区域高价值客户</v>
      </c>
      <c r="O51" s="9" t="s">
        <v>292</v>
      </c>
    </row>
    <row r="52" ht="27.75" customHeight="1" spans="1:15">
      <c r="A52" s="23">
        <v>51</v>
      </c>
      <c r="B52" s="23"/>
      <c r="C52" s="39" t="s">
        <v>248</v>
      </c>
      <c r="D52" s="23" t="s">
        <v>303</v>
      </c>
      <c r="E52" s="23" t="s">
        <v>232</v>
      </c>
      <c r="F52" s="39" t="s">
        <v>233</v>
      </c>
      <c r="G52" s="9" t="s">
        <v>234</v>
      </c>
      <c r="H52" s="8" t="s">
        <v>235</v>
      </c>
      <c r="I52" s="9" t="s">
        <v>304</v>
      </c>
      <c r="J52" s="9" t="s">
        <v>260</v>
      </c>
      <c r="K52" s="39" t="s">
        <v>238</v>
      </c>
      <c r="L52" s="39" t="s">
        <v>239</v>
      </c>
      <c r="M52" s="39" t="s">
        <v>240</v>
      </c>
      <c r="N52" s="39" t="str">
        <f t="shared" si="0"/>
        <v>无宽带覆盖区域套餐抖音、快手偏好客户</v>
      </c>
      <c r="O52" s="9" t="s">
        <v>292</v>
      </c>
    </row>
    <row r="53" customHeight="1" spans="1:15">
      <c r="A53" s="23">
        <v>52</v>
      </c>
      <c r="B53" s="23"/>
      <c r="C53" s="39" t="s">
        <v>250</v>
      </c>
      <c r="D53" s="23" t="s">
        <v>305</v>
      </c>
      <c r="E53" s="23" t="s">
        <v>232</v>
      </c>
      <c r="F53" s="39" t="s">
        <v>233</v>
      </c>
      <c r="G53" s="9" t="s">
        <v>295</v>
      </c>
      <c r="H53" s="9" t="s">
        <v>277</v>
      </c>
      <c r="I53" s="9" t="s">
        <v>301</v>
      </c>
      <c r="J53" s="9" t="s">
        <v>272</v>
      </c>
      <c r="K53" s="39" t="s">
        <v>238</v>
      </c>
      <c r="L53" s="23" t="s">
        <v>240</v>
      </c>
      <c r="M53" s="39" t="s">
        <v>240</v>
      </c>
      <c r="N53" s="39" t="str">
        <f t="shared" si="0"/>
        <v>宽带覆盖区域低消客户</v>
      </c>
      <c r="O53" s="9" t="s">
        <v>292</v>
      </c>
    </row>
    <row r="54" customHeight="1" spans="1:15">
      <c r="A54" s="23">
        <v>53</v>
      </c>
      <c r="B54" s="23"/>
      <c r="C54" s="39" t="s">
        <v>254</v>
      </c>
      <c r="D54" s="23" t="s">
        <v>306</v>
      </c>
      <c r="E54" s="23" t="s">
        <v>244</v>
      </c>
      <c r="F54" s="39" t="s">
        <v>233</v>
      </c>
      <c r="G54" s="9" t="s">
        <v>258</v>
      </c>
      <c r="H54" s="8" t="s">
        <v>235</v>
      </c>
      <c r="I54" s="9" t="s">
        <v>259</v>
      </c>
      <c r="J54" s="9" t="s">
        <v>237</v>
      </c>
      <c r="K54" s="39" t="s">
        <v>238</v>
      </c>
      <c r="L54" s="23" t="s">
        <v>240</v>
      </c>
      <c r="M54" s="39" t="s">
        <v>240</v>
      </c>
      <c r="N54" s="39" t="str">
        <f t="shared" si="0"/>
        <v>宽带覆盖区域高价值客户</v>
      </c>
      <c r="O54" s="9" t="s">
        <v>292</v>
      </c>
    </row>
    <row r="55" ht="27.75" customHeight="1" spans="1:15">
      <c r="A55" s="23">
        <v>54</v>
      </c>
      <c r="B55" s="23"/>
      <c r="C55" s="39" t="s">
        <v>256</v>
      </c>
      <c r="D55" s="23" t="s">
        <v>307</v>
      </c>
      <c r="E55" s="23" t="s">
        <v>232</v>
      </c>
      <c r="F55" s="39" t="s">
        <v>233</v>
      </c>
      <c r="G55" s="9" t="s">
        <v>234</v>
      </c>
      <c r="H55" s="8" t="s">
        <v>235</v>
      </c>
      <c r="I55" s="9" t="s">
        <v>304</v>
      </c>
      <c r="J55" s="9" t="s">
        <v>260</v>
      </c>
      <c r="K55" s="39" t="s">
        <v>238</v>
      </c>
      <c r="L55" s="39" t="s">
        <v>239</v>
      </c>
      <c r="M55" s="39" t="s">
        <v>240</v>
      </c>
      <c r="N55" s="39" t="str">
        <f t="shared" si="0"/>
        <v>宽带覆盖区域套餐抖音、快手偏好客户</v>
      </c>
      <c r="O55" s="9" t="s">
        <v>292</v>
      </c>
    </row>
    <row r="56" customHeight="1" spans="1:15">
      <c r="A56" s="23">
        <v>10</v>
      </c>
      <c r="B56" s="23" t="str">
        <f>[1]场景名称库!D11</f>
        <v>潜在流失场景</v>
      </c>
      <c r="C56" s="39" t="s">
        <v>230</v>
      </c>
      <c r="D56" s="23" t="s">
        <v>243</v>
      </c>
      <c r="E56" s="23" t="s">
        <v>244</v>
      </c>
      <c r="F56" s="39" t="s">
        <v>233</v>
      </c>
      <c r="G56" s="9" t="s">
        <v>295</v>
      </c>
      <c r="H56" s="22" t="s">
        <v>246</v>
      </c>
      <c r="I56" s="39" t="s">
        <v>308</v>
      </c>
      <c r="J56" s="9" t="s">
        <v>260</v>
      </c>
      <c r="K56" s="39" t="s">
        <v>283</v>
      </c>
      <c r="L56" s="39" t="s">
        <v>267</v>
      </c>
      <c r="M56" s="39" t="s">
        <v>240</v>
      </c>
      <c r="N56" s="39" t="str">
        <f t="shared" si="0"/>
        <v>在校大学生</v>
      </c>
      <c r="O56" s="39" t="s">
        <v>241</v>
      </c>
    </row>
    <row r="57" customHeight="1" spans="1:15">
      <c r="A57" s="23">
        <v>56</v>
      </c>
      <c r="B57" s="23"/>
      <c r="C57" s="39" t="s">
        <v>242</v>
      </c>
      <c r="D57" s="23" t="s">
        <v>264</v>
      </c>
      <c r="E57" s="23" t="s">
        <v>244</v>
      </c>
      <c r="F57" s="39" t="s">
        <v>233</v>
      </c>
      <c r="G57" s="22" t="s">
        <v>285</v>
      </c>
      <c r="H57" s="8" t="s">
        <v>235</v>
      </c>
      <c r="I57" s="43" t="s">
        <v>293</v>
      </c>
      <c r="J57" s="22" t="s">
        <v>289</v>
      </c>
      <c r="K57" s="39" t="s">
        <v>283</v>
      </c>
      <c r="L57" s="39" t="s">
        <v>239</v>
      </c>
      <c r="M57" s="39" t="s">
        <v>309</v>
      </c>
      <c r="N57" s="39" t="str">
        <f t="shared" si="0"/>
        <v>务工人员</v>
      </c>
      <c r="O57" s="39" t="s">
        <v>273</v>
      </c>
    </row>
    <row r="58" customHeight="1" spans="1:15">
      <c r="A58" s="23">
        <v>57</v>
      </c>
      <c r="B58" s="23"/>
      <c r="C58" s="39" t="s">
        <v>248</v>
      </c>
      <c r="D58" s="23" t="s">
        <v>231</v>
      </c>
      <c r="E58" s="23" t="s">
        <v>232</v>
      </c>
      <c r="F58" s="39" t="s">
        <v>233</v>
      </c>
      <c r="G58" s="9" t="s">
        <v>295</v>
      </c>
      <c r="H58" s="8" t="s">
        <v>235</v>
      </c>
      <c r="I58" s="9" t="s">
        <v>301</v>
      </c>
      <c r="J58" s="9" t="s">
        <v>260</v>
      </c>
      <c r="K58" s="39" t="s">
        <v>283</v>
      </c>
      <c r="L58" s="39" t="s">
        <v>267</v>
      </c>
      <c r="M58" s="39" t="s">
        <v>240</v>
      </c>
      <c r="N58" s="39" t="str">
        <f t="shared" si="0"/>
        <v>全职妈妈</v>
      </c>
      <c r="O58" s="39" t="s">
        <v>241</v>
      </c>
    </row>
    <row r="59" customHeight="1" spans="1:15">
      <c r="A59" s="23">
        <v>58</v>
      </c>
      <c r="B59" s="23"/>
      <c r="C59" s="39" t="s">
        <v>250</v>
      </c>
      <c r="D59" s="23" t="s">
        <v>251</v>
      </c>
      <c r="E59" s="23" t="s">
        <v>244</v>
      </c>
      <c r="F59" s="39" t="s">
        <v>233</v>
      </c>
      <c r="G59" s="22" t="s">
        <v>285</v>
      </c>
      <c r="H59" s="8" t="s">
        <v>235</v>
      </c>
      <c r="I59" s="9" t="s">
        <v>301</v>
      </c>
      <c r="J59" s="9" t="s">
        <v>260</v>
      </c>
      <c r="K59" s="39" t="s">
        <v>283</v>
      </c>
      <c r="L59" s="39" t="s">
        <v>239</v>
      </c>
      <c r="M59" s="39" t="s">
        <v>240</v>
      </c>
      <c r="N59" s="39" t="str">
        <f t="shared" si="0"/>
        <v>商务人士</v>
      </c>
      <c r="O59" s="39" t="s">
        <v>273</v>
      </c>
    </row>
    <row r="60" customHeight="1" spans="1:15">
      <c r="A60" s="23">
        <v>59</v>
      </c>
      <c r="B60" s="23"/>
      <c r="C60" s="39" t="s">
        <v>254</v>
      </c>
      <c r="D60" s="23" t="s">
        <v>310</v>
      </c>
      <c r="E60" s="23" t="s">
        <v>244</v>
      </c>
      <c r="F60" s="39" t="s">
        <v>276</v>
      </c>
      <c r="G60" s="22" t="s">
        <v>285</v>
      </c>
      <c r="H60" s="8" t="s">
        <v>235</v>
      </c>
      <c r="I60" s="9" t="s">
        <v>266</v>
      </c>
      <c r="J60" s="9" t="s">
        <v>272</v>
      </c>
      <c r="K60" s="39" t="s">
        <v>283</v>
      </c>
      <c r="L60" s="39" t="s">
        <v>239</v>
      </c>
      <c r="M60" s="39" t="s">
        <v>309</v>
      </c>
      <c r="N60" s="39" t="str">
        <f t="shared" si="0"/>
        <v>滴滴司机</v>
      </c>
      <c r="O60" s="39" t="s">
        <v>241</v>
      </c>
    </row>
    <row r="61" customHeight="1" spans="1:15">
      <c r="A61" s="23">
        <v>60</v>
      </c>
      <c r="B61" s="23"/>
      <c r="C61" s="39" t="s">
        <v>256</v>
      </c>
      <c r="D61" s="39" t="s">
        <v>264</v>
      </c>
      <c r="E61" s="39" t="s">
        <v>244</v>
      </c>
      <c r="F61" s="39" t="s">
        <v>233</v>
      </c>
      <c r="G61" s="22" t="s">
        <v>285</v>
      </c>
      <c r="H61" s="8" t="s">
        <v>235</v>
      </c>
      <c r="I61" s="9" t="s">
        <v>301</v>
      </c>
      <c r="J61" s="9" t="s">
        <v>272</v>
      </c>
      <c r="K61" s="39" t="s">
        <v>283</v>
      </c>
      <c r="L61" s="39" t="s">
        <v>267</v>
      </c>
      <c r="M61" s="39" t="s">
        <v>240</v>
      </c>
      <c r="N61" s="39" t="str">
        <f t="shared" si="0"/>
        <v>务工人员</v>
      </c>
      <c r="O61" s="39" t="s">
        <v>241</v>
      </c>
    </row>
    <row r="62" customHeight="1" spans="1:15">
      <c r="A62" s="23">
        <v>11</v>
      </c>
      <c r="B62" s="23" t="str">
        <f>[1]场景名称库!D12</f>
        <v>年轻人场景</v>
      </c>
      <c r="C62" s="39" t="s">
        <v>230</v>
      </c>
      <c r="D62" s="23" t="s">
        <v>264</v>
      </c>
      <c r="E62" s="23" t="s">
        <v>244</v>
      </c>
      <c r="F62" s="22" t="s">
        <v>276</v>
      </c>
      <c r="G62" s="39" t="s">
        <v>285</v>
      </c>
      <c r="H62" s="39" t="s">
        <v>235</v>
      </c>
      <c r="I62" s="9" t="s">
        <v>286</v>
      </c>
      <c r="J62" s="39" t="s">
        <v>272</v>
      </c>
      <c r="K62" s="39" t="s">
        <v>283</v>
      </c>
      <c r="L62" s="39" t="s">
        <v>239</v>
      </c>
      <c r="M62" s="39" t="s">
        <v>240</v>
      </c>
      <c r="N62" s="39" t="str">
        <f t="shared" si="0"/>
        <v>务工人员</v>
      </c>
      <c r="O62" s="39" t="s">
        <v>241</v>
      </c>
    </row>
    <row r="63" customHeight="1" spans="1:15">
      <c r="A63" s="23">
        <v>62</v>
      </c>
      <c r="B63" s="23"/>
      <c r="C63" s="39" t="s">
        <v>242</v>
      </c>
      <c r="D63" s="23" t="s">
        <v>243</v>
      </c>
      <c r="E63" s="23" t="s">
        <v>244</v>
      </c>
      <c r="F63" s="22" t="s">
        <v>276</v>
      </c>
      <c r="G63" s="39" t="s">
        <v>285</v>
      </c>
      <c r="H63" s="39" t="s">
        <v>235</v>
      </c>
      <c r="I63" s="9" t="s">
        <v>259</v>
      </c>
      <c r="J63" s="39" t="s">
        <v>311</v>
      </c>
      <c r="K63" s="39" t="s">
        <v>283</v>
      </c>
      <c r="L63" s="39" t="s">
        <v>239</v>
      </c>
      <c r="M63" s="39" t="s">
        <v>240</v>
      </c>
      <c r="N63" s="39" t="str">
        <f t="shared" si="0"/>
        <v>在校大学生</v>
      </c>
      <c r="O63" s="39" t="s">
        <v>241</v>
      </c>
    </row>
    <row r="64" customHeight="1" spans="1:15">
      <c r="A64" s="23">
        <v>63</v>
      </c>
      <c r="B64" s="23"/>
      <c r="C64" s="39" t="s">
        <v>248</v>
      </c>
      <c r="D64" s="23" t="s">
        <v>279</v>
      </c>
      <c r="E64" s="23" t="s">
        <v>244</v>
      </c>
      <c r="F64" s="22" t="s">
        <v>276</v>
      </c>
      <c r="G64" s="39" t="s">
        <v>285</v>
      </c>
      <c r="H64" s="39" t="s">
        <v>235</v>
      </c>
      <c r="I64" s="9" t="s">
        <v>286</v>
      </c>
      <c r="J64" s="39" t="s">
        <v>272</v>
      </c>
      <c r="K64" s="39" t="s">
        <v>283</v>
      </c>
      <c r="L64" s="39" t="s">
        <v>239</v>
      </c>
      <c r="M64" s="39" t="s">
        <v>240</v>
      </c>
      <c r="N64" s="39" t="str">
        <f t="shared" si="0"/>
        <v>高中毕业生</v>
      </c>
      <c r="O64" s="39" t="s">
        <v>241</v>
      </c>
    </row>
    <row r="65" customHeight="1" spans="1:15">
      <c r="A65" s="23">
        <v>64</v>
      </c>
      <c r="B65" s="23"/>
      <c r="C65" s="39" t="s">
        <v>250</v>
      </c>
      <c r="D65" s="23" t="s">
        <v>312</v>
      </c>
      <c r="E65" s="23" t="s">
        <v>244</v>
      </c>
      <c r="F65" s="22" t="s">
        <v>233</v>
      </c>
      <c r="G65" s="39" t="s">
        <v>285</v>
      </c>
      <c r="H65" s="39" t="s">
        <v>235</v>
      </c>
      <c r="I65" s="9" t="s">
        <v>259</v>
      </c>
      <c r="J65" s="39" t="s">
        <v>311</v>
      </c>
      <c r="K65" s="39" t="s">
        <v>283</v>
      </c>
      <c r="L65" s="39" t="s">
        <v>239</v>
      </c>
      <c r="M65" s="39" t="s">
        <v>240</v>
      </c>
      <c r="N65" s="39" t="str">
        <f t="shared" si="0"/>
        <v>居家年轻人</v>
      </c>
      <c r="O65" s="39" t="s">
        <v>241</v>
      </c>
    </row>
    <row r="66" customHeight="1" spans="1:15">
      <c r="A66" s="23">
        <v>65</v>
      </c>
      <c r="B66" s="23"/>
      <c r="C66" s="39" t="s">
        <v>254</v>
      </c>
      <c r="D66" s="23" t="s">
        <v>231</v>
      </c>
      <c r="E66" s="23" t="s">
        <v>232</v>
      </c>
      <c r="F66" s="22" t="s">
        <v>233</v>
      </c>
      <c r="G66" s="39" t="s">
        <v>285</v>
      </c>
      <c r="H66" s="39" t="s">
        <v>235</v>
      </c>
      <c r="I66" s="9" t="s">
        <v>286</v>
      </c>
      <c r="J66" s="39" t="s">
        <v>272</v>
      </c>
      <c r="K66" s="39" t="s">
        <v>283</v>
      </c>
      <c r="L66" s="39" t="s">
        <v>239</v>
      </c>
      <c r="M66" s="39" t="s">
        <v>240</v>
      </c>
      <c r="N66" s="39" t="str">
        <f t="shared" ref="N66:N91" si="1">D66</f>
        <v>全职妈妈</v>
      </c>
      <c r="O66" s="39" t="s">
        <v>241</v>
      </c>
    </row>
    <row r="67" customHeight="1" spans="1:15">
      <c r="A67" s="23">
        <v>66</v>
      </c>
      <c r="B67" s="23"/>
      <c r="C67" s="39" t="s">
        <v>256</v>
      </c>
      <c r="D67" s="23" t="s">
        <v>249</v>
      </c>
      <c r="E67" s="23" t="s">
        <v>244</v>
      </c>
      <c r="F67" s="22" t="s">
        <v>276</v>
      </c>
      <c r="G67" s="39" t="s">
        <v>285</v>
      </c>
      <c r="H67" s="39" t="s">
        <v>235</v>
      </c>
      <c r="I67" s="9" t="s">
        <v>259</v>
      </c>
      <c r="J67" s="39" t="s">
        <v>311</v>
      </c>
      <c r="K67" s="39" t="s">
        <v>283</v>
      </c>
      <c r="L67" s="39" t="s">
        <v>239</v>
      </c>
      <c r="M67" s="39" t="s">
        <v>240</v>
      </c>
      <c r="N67" s="39" t="str">
        <f t="shared" si="1"/>
        <v>职场青年</v>
      </c>
      <c r="O67" s="39" t="s">
        <v>241</v>
      </c>
    </row>
    <row r="68" customHeight="1" spans="1:15">
      <c r="A68" s="23">
        <v>12</v>
      </c>
      <c r="B68" s="23" t="str">
        <f>[1]场景名称库!D13</f>
        <v>终端高饱和场景</v>
      </c>
      <c r="C68" s="39" t="s">
        <v>230</v>
      </c>
      <c r="D68" s="23" t="s">
        <v>251</v>
      </c>
      <c r="E68" s="23" t="s">
        <v>244</v>
      </c>
      <c r="F68" s="22" t="s">
        <v>276</v>
      </c>
      <c r="G68" s="22" t="s">
        <v>288</v>
      </c>
      <c r="H68" s="22" t="s">
        <v>235</v>
      </c>
      <c r="I68" s="22" t="s">
        <v>313</v>
      </c>
      <c r="J68" s="22" t="s">
        <v>289</v>
      </c>
      <c r="K68" s="22" t="s">
        <v>238</v>
      </c>
      <c r="L68" s="22" t="s">
        <v>239</v>
      </c>
      <c r="M68" s="39" t="s">
        <v>240</v>
      </c>
      <c r="N68" s="39" t="str">
        <f t="shared" si="1"/>
        <v>商务人士</v>
      </c>
      <c r="O68" s="22" t="s">
        <v>241</v>
      </c>
    </row>
    <row r="69" customHeight="1" spans="1:15">
      <c r="A69" s="23">
        <v>68</v>
      </c>
      <c r="B69" s="23"/>
      <c r="C69" s="39" t="s">
        <v>242</v>
      </c>
      <c r="D69" s="39" t="s">
        <v>249</v>
      </c>
      <c r="E69" s="39" t="s">
        <v>232</v>
      </c>
      <c r="F69" s="22" t="s">
        <v>276</v>
      </c>
      <c r="G69" s="22" t="s">
        <v>245</v>
      </c>
      <c r="H69" s="22" t="s">
        <v>235</v>
      </c>
      <c r="I69" s="22" t="s">
        <v>266</v>
      </c>
      <c r="J69" s="22" t="s">
        <v>237</v>
      </c>
      <c r="K69" s="22" t="s">
        <v>287</v>
      </c>
      <c r="L69" s="22" t="s">
        <v>239</v>
      </c>
      <c r="M69" s="39" t="s">
        <v>240</v>
      </c>
      <c r="N69" s="39" t="str">
        <f t="shared" si="1"/>
        <v>职场青年</v>
      </c>
      <c r="O69" s="22" t="s">
        <v>241</v>
      </c>
    </row>
    <row r="70" customHeight="1" spans="1:15">
      <c r="A70" s="23">
        <v>69</v>
      </c>
      <c r="B70" s="23"/>
      <c r="C70" s="39" t="s">
        <v>248</v>
      </c>
      <c r="D70" s="39" t="s">
        <v>251</v>
      </c>
      <c r="E70" s="39" t="s">
        <v>244</v>
      </c>
      <c r="F70" s="22" t="s">
        <v>276</v>
      </c>
      <c r="G70" s="22" t="s">
        <v>288</v>
      </c>
      <c r="H70" s="22" t="s">
        <v>235</v>
      </c>
      <c r="I70" s="22" t="s">
        <v>266</v>
      </c>
      <c r="J70" s="22" t="s">
        <v>289</v>
      </c>
      <c r="K70" s="22" t="s">
        <v>290</v>
      </c>
      <c r="L70" s="22" t="s">
        <v>239</v>
      </c>
      <c r="M70" s="39" t="s">
        <v>240</v>
      </c>
      <c r="N70" s="39" t="str">
        <f t="shared" si="1"/>
        <v>商务人士</v>
      </c>
      <c r="O70" s="22" t="s">
        <v>241</v>
      </c>
    </row>
    <row r="71" customHeight="1" spans="1:15">
      <c r="A71" s="23">
        <v>70</v>
      </c>
      <c r="B71" s="23"/>
      <c r="C71" s="39" t="s">
        <v>250</v>
      </c>
      <c r="D71" s="39" t="s">
        <v>257</v>
      </c>
      <c r="E71" s="39" t="s">
        <v>244</v>
      </c>
      <c r="F71" s="22" t="s">
        <v>233</v>
      </c>
      <c r="G71" s="22" t="s">
        <v>285</v>
      </c>
      <c r="H71" s="22" t="s">
        <v>252</v>
      </c>
      <c r="I71" s="22" t="s">
        <v>265</v>
      </c>
      <c r="J71" s="22" t="s">
        <v>272</v>
      </c>
      <c r="K71" s="22" t="s">
        <v>238</v>
      </c>
      <c r="L71" s="39" t="s">
        <v>239</v>
      </c>
      <c r="M71" s="39" t="s">
        <v>240</v>
      </c>
      <c r="N71" s="39" t="str">
        <f t="shared" si="1"/>
        <v>个体工商户</v>
      </c>
      <c r="O71" s="22" t="s">
        <v>241</v>
      </c>
    </row>
    <row r="72" customHeight="1" spans="1:15">
      <c r="A72" s="23">
        <v>71</v>
      </c>
      <c r="B72" s="23"/>
      <c r="C72" s="39" t="s">
        <v>254</v>
      </c>
      <c r="D72" s="39" t="s">
        <v>264</v>
      </c>
      <c r="E72" s="39" t="s">
        <v>244</v>
      </c>
      <c r="F72" s="22" t="s">
        <v>233</v>
      </c>
      <c r="G72" s="22" t="s">
        <v>285</v>
      </c>
      <c r="H72" s="22" t="s">
        <v>252</v>
      </c>
      <c r="I72" s="22" t="s">
        <v>265</v>
      </c>
      <c r="J72" s="22" t="s">
        <v>272</v>
      </c>
      <c r="K72" s="22" t="s">
        <v>238</v>
      </c>
      <c r="L72" s="39" t="s">
        <v>239</v>
      </c>
      <c r="M72" s="39" t="s">
        <v>240</v>
      </c>
      <c r="N72" s="39" t="str">
        <f t="shared" si="1"/>
        <v>务工人员</v>
      </c>
      <c r="O72" s="22" t="s">
        <v>241</v>
      </c>
    </row>
    <row r="73" customHeight="1" spans="1:15">
      <c r="A73" s="23">
        <v>72</v>
      </c>
      <c r="B73" s="23"/>
      <c r="C73" s="39" t="s">
        <v>256</v>
      </c>
      <c r="D73" s="23" t="s">
        <v>255</v>
      </c>
      <c r="E73" s="39" t="s">
        <v>244</v>
      </c>
      <c r="F73" s="22" t="s">
        <v>276</v>
      </c>
      <c r="G73" s="22" t="s">
        <v>285</v>
      </c>
      <c r="H73" s="22" t="s">
        <v>235</v>
      </c>
      <c r="I73" s="22" t="s">
        <v>293</v>
      </c>
      <c r="J73" s="22" t="s">
        <v>289</v>
      </c>
      <c r="K73" s="22" t="s">
        <v>294</v>
      </c>
      <c r="L73" s="22" t="s">
        <v>239</v>
      </c>
      <c r="M73" s="39" t="s">
        <v>240</v>
      </c>
      <c r="N73" s="39" t="str">
        <f t="shared" si="1"/>
        <v>集团AB类用户</v>
      </c>
      <c r="O73" s="22" t="s">
        <v>241</v>
      </c>
    </row>
    <row r="74" customHeight="1" spans="1:15">
      <c r="A74" s="23">
        <v>13</v>
      </c>
      <c r="B74" s="23" t="str">
        <f>[1]场景名称库!D14</f>
        <v>套餐适配运营</v>
      </c>
      <c r="C74" s="39" t="s">
        <v>230</v>
      </c>
      <c r="D74" s="23" t="s">
        <v>268</v>
      </c>
      <c r="E74" s="39" t="s">
        <v>244</v>
      </c>
      <c r="F74" s="39" t="s">
        <v>233</v>
      </c>
      <c r="G74" s="22" t="s">
        <v>245</v>
      </c>
      <c r="H74" s="9" t="s">
        <v>277</v>
      </c>
      <c r="I74" s="22" t="s">
        <v>265</v>
      </c>
      <c r="J74" s="22" t="s">
        <v>272</v>
      </c>
      <c r="K74" s="22" t="s">
        <v>238</v>
      </c>
      <c r="L74" s="39" t="s">
        <v>239</v>
      </c>
      <c r="M74" s="39" t="s">
        <v>314</v>
      </c>
      <c r="N74" s="39" t="str">
        <f t="shared" si="1"/>
        <v>高龄独居老人</v>
      </c>
      <c r="O74" s="39" t="s">
        <v>273</v>
      </c>
    </row>
    <row r="75" customHeight="1" spans="1:15">
      <c r="A75" s="23">
        <v>74</v>
      </c>
      <c r="B75" s="23"/>
      <c r="C75" s="39" t="s">
        <v>242</v>
      </c>
      <c r="D75" s="23" t="s">
        <v>279</v>
      </c>
      <c r="E75" s="39" t="s">
        <v>244</v>
      </c>
      <c r="F75" s="39" t="s">
        <v>233</v>
      </c>
      <c r="G75" s="22" t="s">
        <v>245</v>
      </c>
      <c r="H75" s="22" t="s">
        <v>246</v>
      </c>
      <c r="I75" s="9" t="s">
        <v>301</v>
      </c>
      <c r="J75" s="22" t="s">
        <v>272</v>
      </c>
      <c r="K75" s="22" t="s">
        <v>238</v>
      </c>
      <c r="L75" s="22" t="s">
        <v>240</v>
      </c>
      <c r="M75" s="39" t="s">
        <v>240</v>
      </c>
      <c r="N75" s="39" t="str">
        <f t="shared" si="1"/>
        <v>高中毕业生</v>
      </c>
      <c r="O75" s="22" t="s">
        <v>241</v>
      </c>
    </row>
    <row r="76" customHeight="1" spans="1:15">
      <c r="A76" s="23">
        <v>75</v>
      </c>
      <c r="B76" s="23"/>
      <c r="C76" s="39" t="s">
        <v>248</v>
      </c>
      <c r="D76" s="23" t="s">
        <v>312</v>
      </c>
      <c r="E76" s="39" t="s">
        <v>244</v>
      </c>
      <c r="F76" s="22" t="s">
        <v>276</v>
      </c>
      <c r="G76" s="22" t="s">
        <v>288</v>
      </c>
      <c r="H76" s="22" t="s">
        <v>235</v>
      </c>
      <c r="I76" s="39" t="s">
        <v>293</v>
      </c>
      <c r="J76" s="22" t="s">
        <v>272</v>
      </c>
      <c r="K76" s="22" t="s">
        <v>238</v>
      </c>
      <c r="L76" s="22" t="s">
        <v>239</v>
      </c>
      <c r="M76" s="39" t="s">
        <v>315</v>
      </c>
      <c r="N76" s="39" t="str">
        <f t="shared" si="1"/>
        <v>居家年轻人</v>
      </c>
      <c r="O76" s="22" t="s">
        <v>241</v>
      </c>
    </row>
    <row r="77" customHeight="1" spans="1:15">
      <c r="A77" s="23">
        <v>76</v>
      </c>
      <c r="B77" s="23"/>
      <c r="C77" s="39" t="s">
        <v>250</v>
      </c>
      <c r="D77" s="39" t="s">
        <v>316</v>
      </c>
      <c r="E77" s="39" t="s">
        <v>244</v>
      </c>
      <c r="F77" s="39" t="s">
        <v>233</v>
      </c>
      <c r="G77" s="22" t="s">
        <v>285</v>
      </c>
      <c r="H77" s="9" t="s">
        <v>277</v>
      </c>
      <c r="I77" s="22" t="s">
        <v>266</v>
      </c>
      <c r="J77" s="22" t="s">
        <v>272</v>
      </c>
      <c r="K77" s="22" t="s">
        <v>238</v>
      </c>
      <c r="L77" s="39" t="s">
        <v>239</v>
      </c>
      <c r="M77" s="39" t="s">
        <v>240</v>
      </c>
      <c r="N77" s="39" t="str">
        <f t="shared" si="1"/>
        <v>保安</v>
      </c>
      <c r="O77" s="22" t="s">
        <v>241</v>
      </c>
    </row>
    <row r="78" customHeight="1" spans="1:15">
      <c r="A78" s="23">
        <v>77</v>
      </c>
      <c r="B78" s="23"/>
      <c r="C78" s="39" t="s">
        <v>254</v>
      </c>
      <c r="D78" s="23" t="s">
        <v>243</v>
      </c>
      <c r="E78" s="39" t="s">
        <v>244</v>
      </c>
      <c r="F78" s="39" t="s">
        <v>233</v>
      </c>
      <c r="G78" s="22" t="s">
        <v>288</v>
      </c>
      <c r="H78" s="22" t="s">
        <v>246</v>
      </c>
      <c r="I78" s="9" t="s">
        <v>301</v>
      </c>
      <c r="J78" s="22" t="s">
        <v>272</v>
      </c>
      <c r="K78" s="22" t="s">
        <v>238</v>
      </c>
      <c r="L78" s="39" t="s">
        <v>267</v>
      </c>
      <c r="M78" s="39" t="s">
        <v>317</v>
      </c>
      <c r="N78" s="39" t="str">
        <f t="shared" si="1"/>
        <v>在校大学生</v>
      </c>
      <c r="O78" s="22" t="s">
        <v>241</v>
      </c>
    </row>
    <row r="79" customHeight="1" spans="1:15">
      <c r="A79" s="23">
        <v>78</v>
      </c>
      <c r="B79" s="23"/>
      <c r="C79" s="39" t="s">
        <v>256</v>
      </c>
      <c r="D79" s="23" t="s">
        <v>268</v>
      </c>
      <c r="E79" s="39" t="s">
        <v>244</v>
      </c>
      <c r="F79" s="39" t="s">
        <v>233</v>
      </c>
      <c r="G79" s="22" t="s">
        <v>245</v>
      </c>
      <c r="H79" s="9" t="s">
        <v>277</v>
      </c>
      <c r="I79" s="22" t="s">
        <v>265</v>
      </c>
      <c r="J79" s="22" t="s">
        <v>272</v>
      </c>
      <c r="K79" s="22" t="s">
        <v>238</v>
      </c>
      <c r="L79" s="39" t="s">
        <v>239</v>
      </c>
      <c r="M79" s="39" t="s">
        <v>240</v>
      </c>
      <c r="N79" s="39" t="str">
        <f t="shared" si="1"/>
        <v>高龄独居老人</v>
      </c>
      <c r="O79" s="39" t="s">
        <v>292</v>
      </c>
    </row>
    <row r="80" customHeight="1" spans="1:15">
      <c r="A80" s="23">
        <v>14</v>
      </c>
      <c r="B80" s="23" t="str">
        <f>[1]场景名称库!D15</f>
        <v>校园场景</v>
      </c>
      <c r="C80" s="39" t="s">
        <v>230</v>
      </c>
      <c r="D80" s="23" t="s">
        <v>243</v>
      </c>
      <c r="E80" s="23" t="s">
        <v>244</v>
      </c>
      <c r="F80" s="13" t="s">
        <v>276</v>
      </c>
      <c r="G80" s="39" t="s">
        <v>234</v>
      </c>
      <c r="H80" s="39" t="s">
        <v>246</v>
      </c>
      <c r="I80" s="39" t="s">
        <v>293</v>
      </c>
      <c r="J80" s="39" t="s">
        <v>270</v>
      </c>
      <c r="K80" s="39" t="s">
        <v>238</v>
      </c>
      <c r="L80" s="39" t="s">
        <v>239</v>
      </c>
      <c r="M80" s="39" t="s">
        <v>240</v>
      </c>
      <c r="N80" s="39" t="str">
        <f t="shared" si="1"/>
        <v>在校大学生</v>
      </c>
      <c r="O80" s="39" t="s">
        <v>241</v>
      </c>
    </row>
    <row r="81" customHeight="1" spans="1:15">
      <c r="A81" s="23">
        <v>80</v>
      </c>
      <c r="B81" s="23"/>
      <c r="C81" s="39" t="s">
        <v>242</v>
      </c>
      <c r="D81" s="23" t="s">
        <v>243</v>
      </c>
      <c r="E81" s="23" t="s">
        <v>232</v>
      </c>
      <c r="F81" s="13" t="s">
        <v>233</v>
      </c>
      <c r="G81" s="39" t="s">
        <v>234</v>
      </c>
      <c r="H81" s="39" t="s">
        <v>246</v>
      </c>
      <c r="I81" s="39" t="s">
        <v>266</v>
      </c>
      <c r="J81" s="39" t="s">
        <v>260</v>
      </c>
      <c r="K81" s="39" t="s">
        <v>238</v>
      </c>
      <c r="L81" s="39" t="s">
        <v>267</v>
      </c>
      <c r="M81" s="39" t="s">
        <v>240</v>
      </c>
      <c r="N81" s="39" t="str">
        <f t="shared" si="1"/>
        <v>在校大学生</v>
      </c>
      <c r="O81" s="39" t="s">
        <v>241</v>
      </c>
    </row>
    <row r="82" customHeight="1" spans="1:15">
      <c r="A82" s="23">
        <v>81</v>
      </c>
      <c r="B82" s="23"/>
      <c r="C82" s="39" t="s">
        <v>248</v>
      </c>
      <c r="D82" s="23" t="s">
        <v>243</v>
      </c>
      <c r="E82" s="23" t="s">
        <v>244</v>
      </c>
      <c r="F82" s="13" t="s">
        <v>233</v>
      </c>
      <c r="G82" s="39" t="s">
        <v>234</v>
      </c>
      <c r="H82" s="39" t="s">
        <v>246</v>
      </c>
      <c r="I82" s="39" t="s">
        <v>293</v>
      </c>
      <c r="J82" s="39" t="s">
        <v>272</v>
      </c>
      <c r="K82" s="39" t="s">
        <v>238</v>
      </c>
      <c r="L82" s="39" t="s">
        <v>267</v>
      </c>
      <c r="M82" s="39" t="s">
        <v>240</v>
      </c>
      <c r="N82" s="39" t="str">
        <f t="shared" si="1"/>
        <v>在校大学生</v>
      </c>
      <c r="O82" s="39" t="s">
        <v>241</v>
      </c>
    </row>
    <row r="83" customHeight="1" spans="1:15">
      <c r="A83" s="23">
        <v>82</v>
      </c>
      <c r="B83" s="23"/>
      <c r="C83" s="39" t="s">
        <v>250</v>
      </c>
      <c r="D83" s="23" t="s">
        <v>243</v>
      </c>
      <c r="E83" s="23" t="s">
        <v>232</v>
      </c>
      <c r="F83" s="13" t="s">
        <v>233</v>
      </c>
      <c r="G83" s="39" t="s">
        <v>234</v>
      </c>
      <c r="H83" s="39" t="s">
        <v>246</v>
      </c>
      <c r="I83" s="39" t="s">
        <v>293</v>
      </c>
      <c r="J83" s="39" t="s">
        <v>272</v>
      </c>
      <c r="K83" s="39" t="s">
        <v>238</v>
      </c>
      <c r="L83" s="39" t="s">
        <v>239</v>
      </c>
      <c r="M83" s="39" t="s">
        <v>240</v>
      </c>
      <c r="N83" s="39" t="str">
        <f t="shared" si="1"/>
        <v>在校大学生</v>
      </c>
      <c r="O83" s="39" t="s">
        <v>241</v>
      </c>
    </row>
    <row r="84" customHeight="1" spans="1:15">
      <c r="A84" s="23">
        <v>83</v>
      </c>
      <c r="B84" s="23"/>
      <c r="C84" s="39" t="s">
        <v>254</v>
      </c>
      <c r="D84" s="23" t="s">
        <v>243</v>
      </c>
      <c r="E84" s="23" t="s">
        <v>244</v>
      </c>
      <c r="F84" s="13" t="s">
        <v>233</v>
      </c>
      <c r="G84" s="39" t="s">
        <v>234</v>
      </c>
      <c r="H84" s="39" t="s">
        <v>246</v>
      </c>
      <c r="I84" s="39" t="s">
        <v>293</v>
      </c>
      <c r="J84" s="39" t="s">
        <v>260</v>
      </c>
      <c r="K84" s="39" t="s">
        <v>238</v>
      </c>
      <c r="L84" s="39" t="s">
        <v>267</v>
      </c>
      <c r="M84" s="39" t="s">
        <v>240</v>
      </c>
      <c r="N84" s="39" t="str">
        <f t="shared" si="1"/>
        <v>在校大学生</v>
      </c>
      <c r="O84" s="39" t="s">
        <v>241</v>
      </c>
    </row>
    <row r="85" customHeight="1" spans="1:15">
      <c r="A85" s="23">
        <v>84</v>
      </c>
      <c r="B85" s="23"/>
      <c r="C85" s="39" t="s">
        <v>256</v>
      </c>
      <c r="D85" s="23" t="s">
        <v>279</v>
      </c>
      <c r="E85" s="23" t="s">
        <v>244</v>
      </c>
      <c r="F85" s="13" t="s">
        <v>233</v>
      </c>
      <c r="G85" s="39" t="s">
        <v>234</v>
      </c>
      <c r="H85" s="39" t="s">
        <v>246</v>
      </c>
      <c r="I85" s="39" t="s">
        <v>293</v>
      </c>
      <c r="J85" s="39" t="s">
        <v>260</v>
      </c>
      <c r="K85" s="39" t="s">
        <v>238</v>
      </c>
      <c r="L85" s="39" t="s">
        <v>267</v>
      </c>
      <c r="M85" s="39" t="s">
        <v>240</v>
      </c>
      <c r="N85" s="39" t="str">
        <f t="shared" si="1"/>
        <v>高中毕业生</v>
      </c>
      <c r="O85" s="39" t="s">
        <v>241</v>
      </c>
    </row>
    <row r="86" customHeight="1" spans="1:15">
      <c r="A86" s="23">
        <v>15</v>
      </c>
      <c r="B86" s="23" t="str">
        <f>[1]场景名称库!D16</f>
        <v>异网主卡赢回场景</v>
      </c>
      <c r="C86" s="39" t="s">
        <v>230</v>
      </c>
      <c r="D86" s="23" t="s">
        <v>268</v>
      </c>
      <c r="E86" s="23" t="s">
        <v>244</v>
      </c>
      <c r="F86" s="22" t="s">
        <v>276</v>
      </c>
      <c r="G86" s="39" t="s">
        <v>285</v>
      </c>
      <c r="H86" s="39" t="s">
        <v>277</v>
      </c>
      <c r="I86" s="9" t="s">
        <v>286</v>
      </c>
      <c r="J86" s="39" t="s">
        <v>272</v>
      </c>
      <c r="K86" s="39" t="s">
        <v>283</v>
      </c>
      <c r="L86" s="39" t="s">
        <v>239</v>
      </c>
      <c r="M86" s="39" t="s">
        <v>240</v>
      </c>
      <c r="N86" s="39" t="str">
        <f t="shared" si="1"/>
        <v>高龄独居老人</v>
      </c>
      <c r="O86" s="39" t="s">
        <v>241</v>
      </c>
    </row>
    <row r="87" customHeight="1" spans="1:15">
      <c r="A87" s="23">
        <v>86</v>
      </c>
      <c r="B87" s="23"/>
      <c r="C87" s="39" t="s">
        <v>242</v>
      </c>
      <c r="D87" s="23" t="s">
        <v>257</v>
      </c>
      <c r="E87" s="23" t="s">
        <v>244</v>
      </c>
      <c r="F87" s="22" t="s">
        <v>276</v>
      </c>
      <c r="G87" s="39" t="s">
        <v>285</v>
      </c>
      <c r="H87" s="39" t="s">
        <v>235</v>
      </c>
      <c r="I87" s="9" t="s">
        <v>259</v>
      </c>
      <c r="J87" s="39" t="s">
        <v>311</v>
      </c>
      <c r="K87" s="39" t="s">
        <v>283</v>
      </c>
      <c r="L87" s="39" t="s">
        <v>239</v>
      </c>
      <c r="M87" s="39" t="s">
        <v>240</v>
      </c>
      <c r="N87" s="39" t="str">
        <f t="shared" si="1"/>
        <v>个体工商户</v>
      </c>
      <c r="O87" s="39" t="s">
        <v>241</v>
      </c>
    </row>
    <row r="88" customHeight="1" spans="1:15">
      <c r="A88" s="23">
        <v>87</v>
      </c>
      <c r="B88" s="23"/>
      <c r="C88" s="39" t="s">
        <v>248</v>
      </c>
      <c r="D88" s="23" t="s">
        <v>318</v>
      </c>
      <c r="E88" s="23" t="s">
        <v>244</v>
      </c>
      <c r="F88" s="22" t="s">
        <v>276</v>
      </c>
      <c r="G88" s="39" t="s">
        <v>285</v>
      </c>
      <c r="H88" s="39" t="s">
        <v>235</v>
      </c>
      <c r="I88" s="9" t="s">
        <v>286</v>
      </c>
      <c r="J88" s="39" t="s">
        <v>272</v>
      </c>
      <c r="K88" s="39" t="s">
        <v>283</v>
      </c>
      <c r="L88" s="39" t="s">
        <v>239</v>
      </c>
      <c r="M88" s="39" t="s">
        <v>240</v>
      </c>
      <c r="N88" s="39" t="str">
        <f t="shared" si="1"/>
        <v>陪读家长</v>
      </c>
      <c r="O88" s="39" t="s">
        <v>241</v>
      </c>
    </row>
    <row r="89" customHeight="1" spans="1:15">
      <c r="A89" s="23">
        <v>88</v>
      </c>
      <c r="B89" s="23"/>
      <c r="C89" s="39" t="s">
        <v>250</v>
      </c>
      <c r="D89" s="23" t="s">
        <v>249</v>
      </c>
      <c r="E89" s="23" t="s">
        <v>244</v>
      </c>
      <c r="F89" s="22" t="s">
        <v>233</v>
      </c>
      <c r="G89" s="39" t="s">
        <v>285</v>
      </c>
      <c r="H89" s="39" t="s">
        <v>235</v>
      </c>
      <c r="I89" s="9" t="s">
        <v>259</v>
      </c>
      <c r="J89" s="39" t="s">
        <v>311</v>
      </c>
      <c r="K89" s="39" t="s">
        <v>283</v>
      </c>
      <c r="L89" s="39" t="s">
        <v>239</v>
      </c>
      <c r="M89" s="39" t="s">
        <v>240</v>
      </c>
      <c r="N89" s="39" t="str">
        <f t="shared" si="1"/>
        <v>职场青年</v>
      </c>
      <c r="O89" s="39" t="s">
        <v>241</v>
      </c>
    </row>
    <row r="90" customHeight="1" spans="1:15">
      <c r="A90" s="23">
        <v>89</v>
      </c>
      <c r="B90" s="23"/>
      <c r="C90" s="39" t="s">
        <v>254</v>
      </c>
      <c r="D90" s="23" t="s">
        <v>264</v>
      </c>
      <c r="E90" s="23" t="s">
        <v>244</v>
      </c>
      <c r="F90" s="22" t="s">
        <v>233</v>
      </c>
      <c r="G90" s="39" t="s">
        <v>285</v>
      </c>
      <c r="H90" s="39" t="s">
        <v>235</v>
      </c>
      <c r="I90" s="9" t="s">
        <v>286</v>
      </c>
      <c r="J90" s="39" t="s">
        <v>272</v>
      </c>
      <c r="K90" s="39" t="s">
        <v>283</v>
      </c>
      <c r="L90" s="42" t="s">
        <v>239</v>
      </c>
      <c r="M90" s="39" t="s">
        <v>240</v>
      </c>
      <c r="N90" s="39" t="str">
        <f t="shared" si="1"/>
        <v>务工人员</v>
      </c>
      <c r="O90" s="39" t="s">
        <v>241</v>
      </c>
    </row>
    <row r="91" customHeight="1" spans="1:15">
      <c r="A91" s="23">
        <v>90</v>
      </c>
      <c r="B91" s="23"/>
      <c r="C91" s="39" t="s">
        <v>256</v>
      </c>
      <c r="D91" s="23" t="s">
        <v>264</v>
      </c>
      <c r="E91" s="23" t="s">
        <v>244</v>
      </c>
      <c r="F91" s="22" t="s">
        <v>276</v>
      </c>
      <c r="G91" s="39" t="s">
        <v>285</v>
      </c>
      <c r="H91" s="39" t="s">
        <v>235</v>
      </c>
      <c r="I91" s="9" t="s">
        <v>259</v>
      </c>
      <c r="J91" s="39" t="s">
        <v>311</v>
      </c>
      <c r="K91" s="39" t="s">
        <v>283</v>
      </c>
      <c r="L91" s="42" t="s">
        <v>239</v>
      </c>
      <c r="M91" s="39" t="s">
        <v>240</v>
      </c>
      <c r="N91" s="39" t="str">
        <f t="shared" si="1"/>
        <v>务工人员</v>
      </c>
      <c r="O91" s="39" t="s">
        <v>241</v>
      </c>
    </row>
  </sheetData>
  <autoFilter ref="A1:O91">
    <extLst/>
  </autoFilter>
  <mergeCells count="30">
    <mergeCell ref="A2:A7"/>
    <mergeCell ref="A8:A13"/>
    <mergeCell ref="A14:A19"/>
    <mergeCell ref="A20:A25"/>
    <mergeCell ref="A26:A31"/>
    <mergeCell ref="A32:A37"/>
    <mergeCell ref="A38:A43"/>
    <mergeCell ref="A44:A49"/>
    <mergeCell ref="A50:A55"/>
    <mergeCell ref="A56:A61"/>
    <mergeCell ref="A62:A67"/>
    <mergeCell ref="A68:A73"/>
    <mergeCell ref="A74:A79"/>
    <mergeCell ref="A80:A85"/>
    <mergeCell ref="A86:A91"/>
    <mergeCell ref="B2:B7"/>
    <mergeCell ref="B8:B13"/>
    <mergeCell ref="B14:B19"/>
    <mergeCell ref="B20:B25"/>
    <mergeCell ref="B26:B31"/>
    <mergeCell ref="B32:B37"/>
    <mergeCell ref="B38:B43"/>
    <mergeCell ref="B44:B49"/>
    <mergeCell ref="B50:B55"/>
    <mergeCell ref="B56:B61"/>
    <mergeCell ref="B62:B67"/>
    <mergeCell ref="B68:B73"/>
    <mergeCell ref="B74:B79"/>
    <mergeCell ref="B80:B85"/>
    <mergeCell ref="B86:B9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I15"/>
  <sheetViews>
    <sheetView workbookViewId="0">
      <selection activeCell="A1" sqref="$A1:$XFD1"/>
    </sheetView>
  </sheetViews>
  <sheetFormatPr defaultColWidth="9" defaultRowHeight="14.4" customHeight="1"/>
  <cols>
    <col min="2" max="2" width="9.5" style="5" customWidth="1"/>
    <col min="3" max="3" width="7.5" style="5" customWidth="1"/>
    <col min="4" max="4" width="37.8333333333333" style="5" customWidth="1"/>
    <col min="5" max="5" width="27" style="5" customWidth="1"/>
    <col min="7" max="7" width="51.125" style="5" customWidth="1"/>
    <col min="8" max="8" width="16.5" style="5" customWidth="1"/>
  </cols>
  <sheetData>
    <row r="1" s="1" customFormat="1" ht="14.25" spans="1:9">
      <c r="A1" s="20" t="s">
        <v>0</v>
      </c>
      <c r="B1" s="20" t="s">
        <v>319</v>
      </c>
      <c r="C1" s="20" t="s">
        <v>180</v>
      </c>
      <c r="D1" s="20" t="s">
        <v>320</v>
      </c>
      <c r="E1" s="20" t="s">
        <v>321</v>
      </c>
      <c r="F1" s="20" t="s">
        <v>322</v>
      </c>
      <c r="G1" s="20" t="s">
        <v>323</v>
      </c>
      <c r="H1" s="20" t="s">
        <v>324</v>
      </c>
      <c r="I1" s="20" t="s">
        <v>325</v>
      </c>
    </row>
    <row r="2" ht="27" spans="1:9">
      <c r="A2" s="22">
        <v>1</v>
      </c>
      <c r="B2" s="22" t="s">
        <v>326</v>
      </c>
      <c r="C2" s="22" t="s">
        <v>327</v>
      </c>
      <c r="D2" s="8" t="s">
        <v>328</v>
      </c>
      <c r="E2" s="22" t="s">
        <v>329</v>
      </c>
      <c r="F2" s="22">
        <v>5</v>
      </c>
      <c r="G2" s="8" t="s">
        <v>330</v>
      </c>
      <c r="H2" s="8" t="s">
        <v>331</v>
      </c>
      <c r="I2" s="22">
        <v>4</v>
      </c>
    </row>
    <row r="3" ht="40.5" spans="1:9">
      <c r="A3" s="22">
        <v>2</v>
      </c>
      <c r="B3" s="22" t="s">
        <v>326</v>
      </c>
      <c r="C3" s="22" t="s">
        <v>327</v>
      </c>
      <c r="D3" s="8" t="s">
        <v>332</v>
      </c>
      <c r="E3" s="22" t="s">
        <v>333</v>
      </c>
      <c r="F3" s="22">
        <v>5</v>
      </c>
      <c r="G3" s="8" t="s">
        <v>334</v>
      </c>
      <c r="H3" s="22" t="s">
        <v>335</v>
      </c>
      <c r="I3" s="22">
        <v>4</v>
      </c>
    </row>
    <row r="4" ht="40.5" spans="1:9">
      <c r="A4" s="22">
        <v>3</v>
      </c>
      <c r="B4" s="22" t="s">
        <v>326</v>
      </c>
      <c r="C4" s="22" t="s">
        <v>327</v>
      </c>
      <c r="D4" s="8" t="s">
        <v>336</v>
      </c>
      <c r="E4" s="22" t="s">
        <v>337</v>
      </c>
      <c r="F4" s="22">
        <v>5</v>
      </c>
      <c r="G4" s="8" t="s">
        <v>338</v>
      </c>
      <c r="H4" s="22" t="s">
        <v>335</v>
      </c>
      <c r="I4" s="22">
        <v>4</v>
      </c>
    </row>
    <row r="5" ht="40.5" spans="1:9">
      <c r="A5" s="22">
        <v>4</v>
      </c>
      <c r="B5" s="22" t="s">
        <v>326</v>
      </c>
      <c r="C5" s="22" t="s">
        <v>339</v>
      </c>
      <c r="D5" s="8" t="s">
        <v>340</v>
      </c>
      <c r="E5" s="22" t="s">
        <v>341</v>
      </c>
      <c r="F5" s="22">
        <v>5</v>
      </c>
      <c r="G5" s="8" t="s">
        <v>342</v>
      </c>
      <c r="H5" s="22" t="s">
        <v>341</v>
      </c>
      <c r="I5" s="22">
        <v>4</v>
      </c>
    </row>
    <row r="6" ht="40.5" spans="1:9">
      <c r="A6" s="22">
        <v>5</v>
      </c>
      <c r="B6" s="22" t="s">
        <v>326</v>
      </c>
      <c r="C6" s="22" t="s">
        <v>339</v>
      </c>
      <c r="D6" s="8" t="s">
        <v>343</v>
      </c>
      <c r="E6" s="22" t="s">
        <v>344</v>
      </c>
      <c r="F6" s="22">
        <v>5</v>
      </c>
      <c r="G6" s="8" t="s">
        <v>345</v>
      </c>
      <c r="H6" s="22" t="s">
        <v>344</v>
      </c>
      <c r="I6" s="22">
        <v>4</v>
      </c>
    </row>
    <row r="7" ht="40.5" spans="1:9">
      <c r="A7" s="22">
        <v>6</v>
      </c>
      <c r="B7" s="22" t="s">
        <v>326</v>
      </c>
      <c r="C7" s="22" t="s">
        <v>339</v>
      </c>
      <c r="D7" s="8" t="s">
        <v>346</v>
      </c>
      <c r="E7" s="8" t="s">
        <v>347</v>
      </c>
      <c r="F7" s="22">
        <v>5</v>
      </c>
      <c r="G7" s="8" t="s">
        <v>342</v>
      </c>
      <c r="H7" s="8" t="s">
        <v>347</v>
      </c>
      <c r="I7" s="22">
        <v>4</v>
      </c>
    </row>
    <row r="8" ht="40.5" spans="1:9">
      <c r="A8" s="22">
        <v>7</v>
      </c>
      <c r="B8" s="22" t="s">
        <v>348</v>
      </c>
      <c r="C8" s="22" t="s">
        <v>327</v>
      </c>
      <c r="D8" s="8" t="s">
        <v>349</v>
      </c>
      <c r="E8" s="8" t="s">
        <v>350</v>
      </c>
      <c r="F8" s="22">
        <v>5</v>
      </c>
      <c r="G8" s="8" t="s">
        <v>351</v>
      </c>
      <c r="H8" s="8" t="s">
        <v>352</v>
      </c>
      <c r="I8" s="22">
        <v>4</v>
      </c>
    </row>
    <row r="9" ht="40.5" spans="1:9">
      <c r="A9" s="22">
        <v>8</v>
      </c>
      <c r="B9" s="22" t="s">
        <v>348</v>
      </c>
      <c r="C9" s="22" t="s">
        <v>327</v>
      </c>
      <c r="D9" s="8" t="s">
        <v>353</v>
      </c>
      <c r="E9" s="22" t="s">
        <v>354</v>
      </c>
      <c r="F9" s="22">
        <v>5</v>
      </c>
      <c r="G9" s="8" t="s">
        <v>355</v>
      </c>
      <c r="H9" s="8" t="s">
        <v>356</v>
      </c>
      <c r="I9" s="22">
        <v>4</v>
      </c>
    </row>
    <row r="10" ht="27" spans="1:9">
      <c r="A10" s="22">
        <v>10</v>
      </c>
      <c r="B10" s="22" t="s">
        <v>348</v>
      </c>
      <c r="C10" s="22" t="s">
        <v>339</v>
      </c>
      <c r="D10" s="8" t="s">
        <v>357</v>
      </c>
      <c r="E10" s="8" t="s">
        <v>358</v>
      </c>
      <c r="F10" s="22">
        <v>5</v>
      </c>
      <c r="G10" s="8" t="s">
        <v>359</v>
      </c>
      <c r="H10" s="8" t="s">
        <v>358</v>
      </c>
      <c r="I10" s="22">
        <v>4</v>
      </c>
    </row>
    <row r="11" ht="40.5" spans="1:9">
      <c r="A11" s="22">
        <v>11</v>
      </c>
      <c r="B11" s="22" t="s">
        <v>348</v>
      </c>
      <c r="C11" s="22" t="s">
        <v>339</v>
      </c>
      <c r="D11" s="8" t="s">
        <v>360</v>
      </c>
      <c r="E11" s="8" t="s">
        <v>358</v>
      </c>
      <c r="F11" s="22">
        <v>5</v>
      </c>
      <c r="G11" s="8" t="s">
        <v>359</v>
      </c>
      <c r="H11" s="22" t="s">
        <v>358</v>
      </c>
      <c r="I11" s="22">
        <v>4</v>
      </c>
    </row>
    <row r="12" ht="27" spans="1:9">
      <c r="A12" s="22">
        <v>12</v>
      </c>
      <c r="B12" s="22" t="s">
        <v>361</v>
      </c>
      <c r="C12" s="22" t="s">
        <v>327</v>
      </c>
      <c r="D12" s="8" t="s">
        <v>362</v>
      </c>
      <c r="E12" s="8" t="s">
        <v>358</v>
      </c>
      <c r="F12" s="22">
        <v>5</v>
      </c>
      <c r="G12" s="8" t="s">
        <v>363</v>
      </c>
      <c r="H12" s="8" t="s">
        <v>364</v>
      </c>
      <c r="I12" s="22">
        <v>4</v>
      </c>
    </row>
    <row r="13" ht="27" spans="1:9">
      <c r="A13" s="22">
        <v>13</v>
      </c>
      <c r="B13" s="22" t="s">
        <v>361</v>
      </c>
      <c r="C13" s="22" t="s">
        <v>339</v>
      </c>
      <c r="D13" s="8" t="s">
        <v>365</v>
      </c>
      <c r="E13" s="8" t="s">
        <v>366</v>
      </c>
      <c r="F13" s="22">
        <v>5</v>
      </c>
      <c r="G13" s="8" t="s">
        <v>367</v>
      </c>
      <c r="H13" s="8" t="s">
        <v>368</v>
      </c>
      <c r="I13" s="22">
        <v>4</v>
      </c>
    </row>
    <row r="14" ht="40.5" spans="1:9">
      <c r="A14" s="22">
        <v>14</v>
      </c>
      <c r="B14" s="22" t="s">
        <v>369</v>
      </c>
      <c r="C14" s="22" t="s">
        <v>327</v>
      </c>
      <c r="D14" s="8" t="s">
        <v>370</v>
      </c>
      <c r="E14" s="8" t="s">
        <v>371</v>
      </c>
      <c r="F14" s="22">
        <v>5</v>
      </c>
      <c r="G14" s="10" t="s">
        <v>372</v>
      </c>
      <c r="H14" s="10" t="s">
        <v>373</v>
      </c>
      <c r="I14" s="22">
        <v>4</v>
      </c>
    </row>
    <row r="15" ht="27" spans="1:9">
      <c r="A15" s="22">
        <v>15</v>
      </c>
      <c r="B15" s="22" t="s">
        <v>369</v>
      </c>
      <c r="C15" s="22" t="s">
        <v>339</v>
      </c>
      <c r="D15" s="8" t="s">
        <v>374</v>
      </c>
      <c r="E15" s="8" t="s">
        <v>375</v>
      </c>
      <c r="F15" s="31">
        <v>5</v>
      </c>
      <c r="G15" s="22" t="s">
        <v>376</v>
      </c>
      <c r="H15" s="22" t="s">
        <v>358</v>
      </c>
      <c r="I15" s="22">
        <v>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1"/>
  <sheetViews>
    <sheetView tabSelected="1" topLeftCell="E15" workbookViewId="0">
      <selection activeCell="L5" sqref="A1:O181"/>
    </sheetView>
  </sheetViews>
  <sheetFormatPr defaultColWidth="8.725" defaultRowHeight="14.25"/>
  <cols>
    <col min="1" max="1" width="8.725" style="18"/>
    <col min="2" max="2" width="10.4583333333333" style="18" customWidth="1"/>
    <col min="3" max="4" width="12.4583333333333" style="18" customWidth="1"/>
    <col min="5" max="5" width="27.25" style="18" customWidth="1"/>
    <col min="6" max="6" width="23.75" style="18" customWidth="1"/>
    <col min="7" max="7" width="8.725" style="18" customWidth="1"/>
    <col min="8" max="8" width="13.75" style="18" customWidth="1"/>
    <col min="9" max="9" width="37.25" style="18" customWidth="1"/>
    <col min="10" max="10" width="21.5" style="18" customWidth="1"/>
    <col min="11" max="11" width="17.625" style="18" customWidth="1"/>
    <col min="12" max="12" width="14.375" style="19" customWidth="1"/>
    <col min="13" max="14" width="37.0083333333333" style="19" customWidth="1"/>
    <col min="15" max="15" width="11.875" style="19" customWidth="1"/>
    <col min="16" max="16384" width="8.725" style="18"/>
  </cols>
  <sheetData>
    <row r="1" s="17" customFormat="1" spans="1:15">
      <c r="A1" s="20" t="s">
        <v>0</v>
      </c>
      <c r="B1" s="20" t="s">
        <v>219</v>
      </c>
      <c r="C1" s="21" t="s">
        <v>220</v>
      </c>
      <c r="D1" s="7" t="s">
        <v>377</v>
      </c>
      <c r="E1" s="7" t="s">
        <v>378</v>
      </c>
      <c r="F1" s="7" t="s">
        <v>379</v>
      </c>
      <c r="G1" s="20" t="s">
        <v>380</v>
      </c>
      <c r="H1" s="7" t="s">
        <v>381</v>
      </c>
      <c r="I1" s="7" t="s">
        <v>382</v>
      </c>
      <c r="J1" s="7" t="s">
        <v>383</v>
      </c>
      <c r="K1" s="7" t="s">
        <v>384</v>
      </c>
      <c r="L1" s="26" t="s">
        <v>385</v>
      </c>
      <c r="M1" s="26" t="s">
        <v>386</v>
      </c>
      <c r="N1" s="26" t="s">
        <v>387</v>
      </c>
      <c r="O1" s="26" t="s">
        <v>388</v>
      </c>
    </row>
    <row r="2" ht="27" spans="1:15">
      <c r="A2" s="22">
        <v>1</v>
      </c>
      <c r="B2" s="22" t="s">
        <v>389</v>
      </c>
      <c r="C2" s="8" t="s">
        <v>231</v>
      </c>
      <c r="D2" s="8" t="s">
        <v>326</v>
      </c>
      <c r="E2" s="8" t="s">
        <v>390</v>
      </c>
      <c r="F2" s="8" t="s">
        <v>391</v>
      </c>
      <c r="G2" s="22">
        <v>5</v>
      </c>
      <c r="H2" s="22" t="s">
        <v>348</v>
      </c>
      <c r="I2" s="8" t="s">
        <v>392</v>
      </c>
      <c r="J2" s="8" t="s">
        <v>393</v>
      </c>
      <c r="K2" s="22">
        <v>5</v>
      </c>
      <c r="L2" s="27"/>
      <c r="M2" s="28"/>
      <c r="N2" s="28"/>
      <c r="O2" s="27"/>
    </row>
    <row r="3" ht="27" spans="1:15">
      <c r="A3" s="22">
        <v>2</v>
      </c>
      <c r="B3" s="22" t="s">
        <v>389</v>
      </c>
      <c r="C3" s="8" t="s">
        <v>231</v>
      </c>
      <c r="D3" s="8" t="s">
        <v>326</v>
      </c>
      <c r="E3" s="8" t="s">
        <v>394</v>
      </c>
      <c r="F3" s="8" t="s">
        <v>395</v>
      </c>
      <c r="G3" s="22">
        <v>5</v>
      </c>
      <c r="H3" s="22" t="s">
        <v>348</v>
      </c>
      <c r="I3" s="8" t="s">
        <v>396</v>
      </c>
      <c r="J3" s="8" t="s">
        <v>395</v>
      </c>
      <c r="K3" s="22">
        <v>5</v>
      </c>
      <c r="L3" s="27"/>
      <c r="M3" s="28"/>
      <c r="N3" s="28"/>
      <c r="O3" s="27"/>
    </row>
    <row r="4" ht="40.5" spans="1:15">
      <c r="A4" s="22">
        <v>3</v>
      </c>
      <c r="B4" s="22" t="s">
        <v>397</v>
      </c>
      <c r="C4" s="8" t="s">
        <v>243</v>
      </c>
      <c r="D4" s="8" t="s">
        <v>326</v>
      </c>
      <c r="E4" s="8" t="s">
        <v>398</v>
      </c>
      <c r="F4" s="8" t="s">
        <v>399</v>
      </c>
      <c r="G4" s="22">
        <v>5</v>
      </c>
      <c r="H4" s="22" t="s">
        <v>361</v>
      </c>
      <c r="I4" s="8" t="s">
        <v>400</v>
      </c>
      <c r="J4" s="8" t="s">
        <v>401</v>
      </c>
      <c r="K4" s="22">
        <v>5</v>
      </c>
      <c r="L4" s="27"/>
      <c r="M4" s="28"/>
      <c r="N4" s="28"/>
      <c r="O4" s="27"/>
    </row>
    <row r="5" ht="54" spans="1:15">
      <c r="A5" s="22">
        <v>4</v>
      </c>
      <c r="B5" s="22" t="s">
        <v>397</v>
      </c>
      <c r="C5" s="8" t="s">
        <v>243</v>
      </c>
      <c r="D5" s="8" t="s">
        <v>326</v>
      </c>
      <c r="E5" s="8" t="s">
        <v>402</v>
      </c>
      <c r="F5" s="8" t="s">
        <v>403</v>
      </c>
      <c r="G5" s="22">
        <v>5</v>
      </c>
      <c r="H5" s="22" t="s">
        <v>361</v>
      </c>
      <c r="I5" s="8" t="s">
        <v>404</v>
      </c>
      <c r="J5" s="8" t="s">
        <v>405</v>
      </c>
      <c r="K5" s="22">
        <v>5</v>
      </c>
      <c r="L5" s="27"/>
      <c r="M5" s="28"/>
      <c r="N5" s="28"/>
      <c r="O5" s="27"/>
    </row>
    <row r="6" ht="27" spans="1:15">
      <c r="A6" s="22">
        <v>5</v>
      </c>
      <c r="B6" s="22" t="s">
        <v>406</v>
      </c>
      <c r="C6" s="8" t="s">
        <v>249</v>
      </c>
      <c r="D6" s="8" t="s">
        <v>326</v>
      </c>
      <c r="E6" s="8" t="s">
        <v>407</v>
      </c>
      <c r="F6" s="8" t="s">
        <v>408</v>
      </c>
      <c r="G6" s="22">
        <v>5</v>
      </c>
      <c r="H6" s="22" t="s">
        <v>361</v>
      </c>
      <c r="I6" s="8" t="s">
        <v>409</v>
      </c>
      <c r="J6" s="8" t="s">
        <v>410</v>
      </c>
      <c r="K6" s="22">
        <v>5</v>
      </c>
      <c r="L6" s="27"/>
      <c r="M6" s="28"/>
      <c r="N6" s="28"/>
      <c r="O6" s="27"/>
    </row>
    <row r="7" ht="27" spans="1:15">
      <c r="A7" s="22">
        <v>6</v>
      </c>
      <c r="B7" s="22" t="s">
        <v>406</v>
      </c>
      <c r="C7" s="8" t="s">
        <v>249</v>
      </c>
      <c r="D7" s="8" t="s">
        <v>326</v>
      </c>
      <c r="E7" s="8" t="s">
        <v>411</v>
      </c>
      <c r="F7" s="8" t="s">
        <v>412</v>
      </c>
      <c r="G7" s="22">
        <v>5</v>
      </c>
      <c r="H7" s="22" t="s">
        <v>361</v>
      </c>
      <c r="I7" s="8" t="s">
        <v>413</v>
      </c>
      <c r="J7" s="8" t="s">
        <v>414</v>
      </c>
      <c r="K7" s="22">
        <v>5</v>
      </c>
      <c r="L7" s="27"/>
      <c r="M7" s="28"/>
      <c r="N7" s="28"/>
      <c r="O7" s="27"/>
    </row>
    <row r="8" ht="27" spans="1:15">
      <c r="A8" s="22">
        <v>7</v>
      </c>
      <c r="B8" s="22" t="s">
        <v>415</v>
      </c>
      <c r="C8" s="8" t="s">
        <v>251</v>
      </c>
      <c r="D8" s="8" t="s">
        <v>326</v>
      </c>
      <c r="E8" s="8" t="s">
        <v>416</v>
      </c>
      <c r="F8" s="8" t="s">
        <v>417</v>
      </c>
      <c r="G8" s="22">
        <v>5</v>
      </c>
      <c r="H8" s="22" t="s">
        <v>361</v>
      </c>
      <c r="I8" s="8" t="s">
        <v>416</v>
      </c>
      <c r="J8" s="8" t="s">
        <v>417</v>
      </c>
      <c r="K8" s="22">
        <v>5</v>
      </c>
      <c r="L8" s="27"/>
      <c r="M8" s="28"/>
      <c r="N8" s="28"/>
      <c r="O8" s="27"/>
    </row>
    <row r="9" ht="27" spans="1:15">
      <c r="A9" s="22">
        <v>8</v>
      </c>
      <c r="B9" s="22" t="s">
        <v>415</v>
      </c>
      <c r="C9" s="8" t="s">
        <v>251</v>
      </c>
      <c r="D9" s="8" t="s">
        <v>326</v>
      </c>
      <c r="E9" s="8" t="s">
        <v>418</v>
      </c>
      <c r="F9" s="8" t="s">
        <v>341</v>
      </c>
      <c r="G9" s="22">
        <v>5</v>
      </c>
      <c r="H9" s="22" t="s">
        <v>361</v>
      </c>
      <c r="I9" s="8" t="s">
        <v>418</v>
      </c>
      <c r="J9" s="8" t="s">
        <v>341</v>
      </c>
      <c r="K9" s="22">
        <v>5</v>
      </c>
      <c r="L9" s="27"/>
      <c r="M9" s="28"/>
      <c r="N9" s="28"/>
      <c r="O9" s="27"/>
    </row>
    <row r="10" ht="40.5" spans="1:15">
      <c r="A10" s="22">
        <v>9</v>
      </c>
      <c r="B10" s="22" t="s">
        <v>419</v>
      </c>
      <c r="C10" s="23" t="s">
        <v>255</v>
      </c>
      <c r="D10" s="8" t="s">
        <v>369</v>
      </c>
      <c r="E10" s="8" t="s">
        <v>420</v>
      </c>
      <c r="F10" s="8" t="s">
        <v>421</v>
      </c>
      <c r="G10" s="22">
        <v>5</v>
      </c>
      <c r="H10" s="22" t="s">
        <v>326</v>
      </c>
      <c r="I10" s="8" t="s">
        <v>422</v>
      </c>
      <c r="J10" s="8" t="s">
        <v>412</v>
      </c>
      <c r="K10" s="22">
        <v>5</v>
      </c>
      <c r="L10" s="27"/>
      <c r="M10" s="28"/>
      <c r="N10" s="28"/>
      <c r="O10" s="27"/>
    </row>
    <row r="11" ht="67.5" spans="1:15">
      <c r="A11" s="22">
        <v>10</v>
      </c>
      <c r="B11" s="22" t="s">
        <v>419</v>
      </c>
      <c r="C11" s="23" t="s">
        <v>255</v>
      </c>
      <c r="D11" s="8" t="s">
        <v>369</v>
      </c>
      <c r="E11" s="8" t="s">
        <v>423</v>
      </c>
      <c r="F11" s="8" t="s">
        <v>424</v>
      </c>
      <c r="G11" s="22">
        <v>5</v>
      </c>
      <c r="H11" s="22" t="s">
        <v>326</v>
      </c>
      <c r="I11" s="8" t="s">
        <v>425</v>
      </c>
      <c r="J11" s="8" t="s">
        <v>426</v>
      </c>
      <c r="K11" s="22">
        <v>5</v>
      </c>
      <c r="L11" s="27"/>
      <c r="M11" s="28"/>
      <c r="N11" s="28"/>
      <c r="O11" s="27"/>
    </row>
    <row r="12" spans="1:15">
      <c r="A12" s="22">
        <v>11</v>
      </c>
      <c r="B12" s="22" t="s">
        <v>427</v>
      </c>
      <c r="C12" s="8" t="s">
        <v>257</v>
      </c>
      <c r="D12" s="8" t="s">
        <v>326</v>
      </c>
      <c r="E12" s="8" t="s">
        <v>428</v>
      </c>
      <c r="F12" s="8" t="s">
        <v>429</v>
      </c>
      <c r="G12" s="22">
        <v>5</v>
      </c>
      <c r="H12" s="22" t="s">
        <v>348</v>
      </c>
      <c r="I12" s="8" t="s">
        <v>430</v>
      </c>
      <c r="J12" s="8" t="s">
        <v>431</v>
      </c>
      <c r="K12" s="22">
        <v>5</v>
      </c>
      <c r="L12" s="27"/>
      <c r="M12" s="28"/>
      <c r="N12" s="28"/>
      <c r="O12" s="27"/>
    </row>
    <row r="13" ht="27" spans="1:15">
      <c r="A13" s="22">
        <v>12</v>
      </c>
      <c r="B13" s="22" t="s">
        <v>427</v>
      </c>
      <c r="C13" s="8" t="s">
        <v>257</v>
      </c>
      <c r="D13" s="8" t="s">
        <v>326</v>
      </c>
      <c r="E13" s="8" t="s">
        <v>425</v>
      </c>
      <c r="F13" s="8" t="s">
        <v>426</v>
      </c>
      <c r="G13" s="22">
        <v>5</v>
      </c>
      <c r="H13" s="22" t="s">
        <v>348</v>
      </c>
      <c r="I13" s="8" t="s">
        <v>432</v>
      </c>
      <c r="J13" s="8" t="s">
        <v>433</v>
      </c>
      <c r="K13" s="22">
        <v>5</v>
      </c>
      <c r="L13" s="27"/>
      <c r="M13" s="28"/>
      <c r="N13" s="28"/>
      <c r="O13" s="27"/>
    </row>
    <row r="14" ht="40.5" spans="1:15">
      <c r="A14" s="22">
        <v>13</v>
      </c>
      <c r="B14" s="22" t="s">
        <v>434</v>
      </c>
      <c r="C14" s="23" t="s">
        <v>255</v>
      </c>
      <c r="D14" s="8" t="s">
        <v>369</v>
      </c>
      <c r="E14" s="8" t="s">
        <v>420</v>
      </c>
      <c r="F14" s="8" t="s">
        <v>421</v>
      </c>
      <c r="G14" s="22">
        <v>5</v>
      </c>
      <c r="H14" s="22" t="s">
        <v>326</v>
      </c>
      <c r="I14" s="8" t="s">
        <v>422</v>
      </c>
      <c r="J14" s="8" t="s">
        <v>412</v>
      </c>
      <c r="K14" s="22">
        <v>5</v>
      </c>
      <c r="L14" s="27"/>
      <c r="M14" s="28"/>
      <c r="N14" s="28"/>
      <c r="O14" s="27"/>
    </row>
    <row r="15" ht="67.5" spans="1:15">
      <c r="A15" s="22">
        <v>14</v>
      </c>
      <c r="B15" s="22" t="s">
        <v>434</v>
      </c>
      <c r="C15" s="23" t="s">
        <v>255</v>
      </c>
      <c r="D15" s="8" t="s">
        <v>369</v>
      </c>
      <c r="E15" s="8" t="s">
        <v>423</v>
      </c>
      <c r="F15" s="8" t="s">
        <v>424</v>
      </c>
      <c r="G15" s="22">
        <v>5</v>
      </c>
      <c r="H15" s="22" t="s">
        <v>326</v>
      </c>
      <c r="I15" s="8" t="s">
        <v>425</v>
      </c>
      <c r="J15" s="8" t="s">
        <v>435</v>
      </c>
      <c r="K15" s="22">
        <v>5</v>
      </c>
      <c r="L15" s="27"/>
      <c r="M15" s="28"/>
      <c r="N15" s="28"/>
      <c r="O15" s="27"/>
    </row>
    <row r="16" spans="1:15">
      <c r="A16" s="22">
        <v>15</v>
      </c>
      <c r="B16" s="22" t="s">
        <v>436</v>
      </c>
      <c r="C16" s="8" t="s">
        <v>257</v>
      </c>
      <c r="D16" s="8" t="s">
        <v>326</v>
      </c>
      <c r="E16" s="8" t="s">
        <v>428</v>
      </c>
      <c r="F16" s="8" t="s">
        <v>429</v>
      </c>
      <c r="G16" s="22">
        <v>5</v>
      </c>
      <c r="H16" s="22" t="s">
        <v>348</v>
      </c>
      <c r="I16" s="8" t="s">
        <v>430</v>
      </c>
      <c r="J16" s="8" t="s">
        <v>431</v>
      </c>
      <c r="K16" s="22">
        <v>5</v>
      </c>
      <c r="L16" s="27"/>
      <c r="M16" s="28"/>
      <c r="N16" s="28"/>
      <c r="O16" s="27"/>
    </row>
    <row r="17" ht="27" spans="1:15">
      <c r="A17" s="22">
        <v>16</v>
      </c>
      <c r="B17" s="22" t="s">
        <v>436</v>
      </c>
      <c r="C17" s="8" t="s">
        <v>257</v>
      </c>
      <c r="D17" s="8" t="s">
        <v>326</v>
      </c>
      <c r="E17" s="8" t="s">
        <v>425</v>
      </c>
      <c r="F17" s="8" t="s">
        <v>426</v>
      </c>
      <c r="G17" s="22">
        <v>5</v>
      </c>
      <c r="H17" s="22" t="s">
        <v>348</v>
      </c>
      <c r="I17" s="8" t="s">
        <v>432</v>
      </c>
      <c r="J17" s="8" t="s">
        <v>433</v>
      </c>
      <c r="K17" s="22">
        <v>5</v>
      </c>
      <c r="L17" s="27"/>
      <c r="M17" s="28"/>
      <c r="N17" s="28"/>
      <c r="O17" s="27"/>
    </row>
    <row r="18" ht="27" spans="1:15">
      <c r="A18" s="22">
        <v>17</v>
      </c>
      <c r="B18" s="22" t="s">
        <v>437</v>
      </c>
      <c r="C18" s="8" t="s">
        <v>262</v>
      </c>
      <c r="D18" s="8" t="s">
        <v>326</v>
      </c>
      <c r="E18" s="8" t="s">
        <v>438</v>
      </c>
      <c r="F18" s="8" t="s">
        <v>439</v>
      </c>
      <c r="G18" s="22">
        <v>5</v>
      </c>
      <c r="H18" s="22" t="s">
        <v>361</v>
      </c>
      <c r="I18" s="8" t="s">
        <v>438</v>
      </c>
      <c r="J18" s="8" t="s">
        <v>439</v>
      </c>
      <c r="K18" s="22">
        <v>5</v>
      </c>
      <c r="L18" s="27" t="s">
        <v>348</v>
      </c>
      <c r="M18" s="28" t="s">
        <v>438</v>
      </c>
      <c r="N18" s="28" t="s">
        <v>439</v>
      </c>
      <c r="O18" s="27">
        <v>5</v>
      </c>
    </row>
    <row r="19" ht="27" spans="1:15">
      <c r="A19" s="22">
        <v>18</v>
      </c>
      <c r="B19" s="22" t="s">
        <v>437</v>
      </c>
      <c r="C19" s="8" t="s">
        <v>262</v>
      </c>
      <c r="D19" s="8" t="s">
        <v>326</v>
      </c>
      <c r="E19" s="8" t="s">
        <v>440</v>
      </c>
      <c r="F19" s="8" t="s">
        <v>341</v>
      </c>
      <c r="G19" s="22">
        <v>5</v>
      </c>
      <c r="H19" s="22" t="s">
        <v>361</v>
      </c>
      <c r="I19" s="8" t="s">
        <v>440</v>
      </c>
      <c r="J19" s="8" t="s">
        <v>341</v>
      </c>
      <c r="K19" s="22">
        <v>5</v>
      </c>
      <c r="L19" s="27" t="s">
        <v>348</v>
      </c>
      <c r="M19" s="28" t="s">
        <v>440</v>
      </c>
      <c r="N19" s="28" t="s">
        <v>341</v>
      </c>
      <c r="O19" s="27">
        <v>5</v>
      </c>
    </row>
    <row r="20" ht="40.5" spans="1:15">
      <c r="A20" s="22">
        <v>19</v>
      </c>
      <c r="B20" s="22" t="s">
        <v>441</v>
      </c>
      <c r="C20" s="8" t="s">
        <v>231</v>
      </c>
      <c r="D20" s="8" t="s">
        <v>326</v>
      </c>
      <c r="E20" s="8" t="s">
        <v>392</v>
      </c>
      <c r="F20" s="8" t="s">
        <v>393</v>
      </c>
      <c r="G20" s="22">
        <v>5</v>
      </c>
      <c r="H20" s="22" t="s">
        <v>348</v>
      </c>
      <c r="I20" s="8" t="s">
        <v>392</v>
      </c>
      <c r="J20" s="8" t="s">
        <v>393</v>
      </c>
      <c r="K20" s="22">
        <v>5</v>
      </c>
      <c r="L20" s="27"/>
      <c r="M20" s="28"/>
      <c r="N20" s="28"/>
      <c r="O20" s="27"/>
    </row>
    <row r="21" ht="40.5" spans="1:15">
      <c r="A21" s="22">
        <v>20</v>
      </c>
      <c r="B21" s="22" t="s">
        <v>441</v>
      </c>
      <c r="C21" s="8" t="s">
        <v>231</v>
      </c>
      <c r="D21" s="8" t="s">
        <v>326</v>
      </c>
      <c r="E21" s="8" t="s">
        <v>396</v>
      </c>
      <c r="F21" s="8" t="s">
        <v>395</v>
      </c>
      <c r="G21" s="22">
        <v>5</v>
      </c>
      <c r="H21" s="22" t="s">
        <v>348</v>
      </c>
      <c r="I21" s="8" t="s">
        <v>396</v>
      </c>
      <c r="J21" s="8" t="s">
        <v>395</v>
      </c>
      <c r="K21" s="22">
        <v>5</v>
      </c>
      <c r="L21" s="27"/>
      <c r="M21" s="28"/>
      <c r="N21" s="28"/>
      <c r="O21" s="27"/>
    </row>
    <row r="22" ht="40.5" spans="1:15">
      <c r="A22" s="22">
        <v>21</v>
      </c>
      <c r="B22" s="22" t="s">
        <v>442</v>
      </c>
      <c r="C22" s="8" t="s">
        <v>243</v>
      </c>
      <c r="D22" s="8" t="s">
        <v>326</v>
      </c>
      <c r="E22" s="8" t="s">
        <v>398</v>
      </c>
      <c r="F22" s="8" t="s">
        <v>399</v>
      </c>
      <c r="G22" s="22">
        <v>5</v>
      </c>
      <c r="H22" s="22" t="s">
        <v>361</v>
      </c>
      <c r="I22" s="8" t="s">
        <v>400</v>
      </c>
      <c r="J22" s="8" t="s">
        <v>401</v>
      </c>
      <c r="K22" s="22">
        <v>5</v>
      </c>
      <c r="L22" s="27"/>
      <c r="M22" s="28"/>
      <c r="N22" s="28"/>
      <c r="O22" s="27"/>
    </row>
    <row r="23" ht="54" spans="1:15">
      <c r="A23" s="22">
        <v>22</v>
      </c>
      <c r="B23" s="22" t="s">
        <v>442</v>
      </c>
      <c r="C23" s="8" t="s">
        <v>243</v>
      </c>
      <c r="D23" s="8" t="s">
        <v>326</v>
      </c>
      <c r="E23" s="10" t="s">
        <v>402</v>
      </c>
      <c r="F23" s="10" t="s">
        <v>403</v>
      </c>
      <c r="G23" s="22">
        <v>5</v>
      </c>
      <c r="H23" s="22" t="s">
        <v>361</v>
      </c>
      <c r="I23" s="8" t="s">
        <v>404</v>
      </c>
      <c r="J23" s="8" t="s">
        <v>405</v>
      </c>
      <c r="K23" s="22">
        <v>5</v>
      </c>
      <c r="L23" s="27"/>
      <c r="M23" s="28"/>
      <c r="N23" s="28"/>
      <c r="O23" s="27"/>
    </row>
    <row r="24" ht="40.5" spans="1:15">
      <c r="A24" s="22">
        <v>23</v>
      </c>
      <c r="B24" s="22" t="s">
        <v>443</v>
      </c>
      <c r="C24" s="14" t="s">
        <v>264</v>
      </c>
      <c r="D24" s="8" t="s">
        <v>326</v>
      </c>
      <c r="E24" s="24" t="s">
        <v>444</v>
      </c>
      <c r="F24" s="24" t="s">
        <v>445</v>
      </c>
      <c r="G24" s="25">
        <v>5</v>
      </c>
      <c r="H24" s="22" t="s">
        <v>361</v>
      </c>
      <c r="I24" s="8" t="s">
        <v>446</v>
      </c>
      <c r="J24" s="8" t="s">
        <v>447</v>
      </c>
      <c r="K24" s="22">
        <v>5</v>
      </c>
      <c r="L24" s="27" t="s">
        <v>348</v>
      </c>
      <c r="M24" s="28" t="s">
        <v>448</v>
      </c>
      <c r="N24" s="28" t="s">
        <v>449</v>
      </c>
      <c r="O24" s="27">
        <v>5</v>
      </c>
    </row>
    <row r="25" ht="40.5" spans="1:15">
      <c r="A25" s="22">
        <v>24</v>
      </c>
      <c r="B25" s="22" t="s">
        <v>443</v>
      </c>
      <c r="C25" s="14" t="s">
        <v>264</v>
      </c>
      <c r="D25" s="8" t="s">
        <v>326</v>
      </c>
      <c r="E25" s="24" t="s">
        <v>450</v>
      </c>
      <c r="F25" s="24" t="s">
        <v>451</v>
      </c>
      <c r="G25" s="25">
        <v>5</v>
      </c>
      <c r="H25" s="22" t="s">
        <v>361</v>
      </c>
      <c r="I25" s="8" t="s">
        <v>452</v>
      </c>
      <c r="J25" s="8" t="s">
        <v>453</v>
      </c>
      <c r="K25" s="22">
        <v>5</v>
      </c>
      <c r="L25" s="27" t="s">
        <v>348</v>
      </c>
      <c r="M25" s="28" t="s">
        <v>454</v>
      </c>
      <c r="N25" s="28" t="s">
        <v>455</v>
      </c>
      <c r="O25" s="27">
        <v>5</v>
      </c>
    </row>
    <row r="26" ht="27" spans="1:15">
      <c r="A26" s="22">
        <v>25</v>
      </c>
      <c r="B26" s="22" t="s">
        <v>456</v>
      </c>
      <c r="C26" s="8" t="s">
        <v>249</v>
      </c>
      <c r="D26" s="8" t="s">
        <v>326</v>
      </c>
      <c r="E26" s="8" t="s">
        <v>457</v>
      </c>
      <c r="F26" s="8" t="s">
        <v>408</v>
      </c>
      <c r="G26" s="22">
        <v>5</v>
      </c>
      <c r="H26" s="22" t="s">
        <v>361</v>
      </c>
      <c r="I26" s="8" t="s">
        <v>409</v>
      </c>
      <c r="J26" s="8" t="s">
        <v>410</v>
      </c>
      <c r="K26" s="22">
        <v>5</v>
      </c>
      <c r="L26" s="27"/>
      <c r="M26" s="28"/>
      <c r="N26" s="28"/>
      <c r="O26" s="27"/>
    </row>
    <row r="27" ht="27" spans="1:15">
      <c r="A27" s="22">
        <v>26</v>
      </c>
      <c r="B27" s="22" t="s">
        <v>456</v>
      </c>
      <c r="C27" s="8" t="s">
        <v>249</v>
      </c>
      <c r="D27" s="8" t="s">
        <v>326</v>
      </c>
      <c r="E27" s="8" t="s">
        <v>411</v>
      </c>
      <c r="F27" s="8" t="s">
        <v>412</v>
      </c>
      <c r="G27" s="22">
        <v>5</v>
      </c>
      <c r="H27" s="22" t="s">
        <v>361</v>
      </c>
      <c r="I27" s="8" t="s">
        <v>413</v>
      </c>
      <c r="J27" s="8" t="s">
        <v>414</v>
      </c>
      <c r="K27" s="22">
        <v>5</v>
      </c>
      <c r="L27" s="27"/>
      <c r="M27" s="28"/>
      <c r="N27" s="28"/>
      <c r="O27" s="27"/>
    </row>
    <row r="28" ht="40.5" spans="1:15">
      <c r="A28" s="22">
        <v>27</v>
      </c>
      <c r="B28" s="22" t="s">
        <v>458</v>
      </c>
      <c r="C28" s="8" t="s">
        <v>268</v>
      </c>
      <c r="D28" s="8" t="s">
        <v>361</v>
      </c>
      <c r="E28" s="8" t="s">
        <v>459</v>
      </c>
      <c r="F28" s="8" t="s">
        <v>460</v>
      </c>
      <c r="G28" s="22">
        <v>5</v>
      </c>
      <c r="H28" s="22" t="s">
        <v>348</v>
      </c>
      <c r="I28" s="8" t="s">
        <v>461</v>
      </c>
      <c r="J28" s="8" t="s">
        <v>462</v>
      </c>
      <c r="K28" s="22">
        <v>5</v>
      </c>
      <c r="L28" s="27"/>
      <c r="M28" s="28"/>
      <c r="N28" s="28"/>
      <c r="O28" s="27"/>
    </row>
    <row r="29" ht="40.5" spans="1:15">
      <c r="A29" s="22">
        <v>28</v>
      </c>
      <c r="B29" s="22" t="s">
        <v>458</v>
      </c>
      <c r="C29" s="8" t="s">
        <v>268</v>
      </c>
      <c r="D29" s="8" t="s">
        <v>361</v>
      </c>
      <c r="E29" s="8" t="s">
        <v>463</v>
      </c>
      <c r="F29" s="8" t="s">
        <v>464</v>
      </c>
      <c r="G29" s="22">
        <v>5</v>
      </c>
      <c r="H29" s="22" t="s">
        <v>348</v>
      </c>
      <c r="I29" s="8" t="s">
        <v>465</v>
      </c>
      <c r="J29" s="8" t="s">
        <v>466</v>
      </c>
      <c r="K29" s="22">
        <v>5</v>
      </c>
      <c r="L29" s="27"/>
      <c r="M29" s="28"/>
      <c r="N29" s="28"/>
      <c r="O29" s="27"/>
    </row>
    <row r="30" ht="40.5" spans="1:15">
      <c r="A30" s="22">
        <v>29</v>
      </c>
      <c r="B30" s="22" t="s">
        <v>467</v>
      </c>
      <c r="C30" s="14" t="s">
        <v>264</v>
      </c>
      <c r="D30" s="8" t="s">
        <v>326</v>
      </c>
      <c r="E30" s="24" t="s">
        <v>444</v>
      </c>
      <c r="F30" s="24" t="s">
        <v>445</v>
      </c>
      <c r="G30" s="25">
        <v>5</v>
      </c>
      <c r="H30" s="22" t="s">
        <v>361</v>
      </c>
      <c r="I30" s="8" t="s">
        <v>446</v>
      </c>
      <c r="J30" s="8" t="s">
        <v>447</v>
      </c>
      <c r="K30" s="22">
        <v>5</v>
      </c>
      <c r="L30" s="27" t="s">
        <v>348</v>
      </c>
      <c r="M30" s="28" t="s">
        <v>448</v>
      </c>
      <c r="N30" s="28" t="s">
        <v>449</v>
      </c>
      <c r="O30" s="27">
        <v>5</v>
      </c>
    </row>
    <row r="31" ht="40.5" spans="1:15">
      <c r="A31" s="22">
        <v>30</v>
      </c>
      <c r="B31" s="22" t="s">
        <v>467</v>
      </c>
      <c r="C31" s="14" t="s">
        <v>264</v>
      </c>
      <c r="D31" s="8" t="s">
        <v>326</v>
      </c>
      <c r="E31" s="24" t="s">
        <v>450</v>
      </c>
      <c r="F31" s="24" t="s">
        <v>451</v>
      </c>
      <c r="G31" s="25">
        <v>5</v>
      </c>
      <c r="H31" s="22" t="s">
        <v>361</v>
      </c>
      <c r="I31" s="8" t="s">
        <v>452</v>
      </c>
      <c r="J31" s="8" t="s">
        <v>453</v>
      </c>
      <c r="K31" s="22">
        <v>5</v>
      </c>
      <c r="L31" s="27" t="s">
        <v>348</v>
      </c>
      <c r="M31" s="28" t="s">
        <v>454</v>
      </c>
      <c r="N31" s="28" t="s">
        <v>455</v>
      </c>
      <c r="O31" s="27">
        <v>5</v>
      </c>
    </row>
    <row r="32" ht="27" spans="1:15">
      <c r="A32" s="22">
        <v>31</v>
      </c>
      <c r="B32" s="22" t="s">
        <v>468</v>
      </c>
      <c r="C32" s="8" t="s">
        <v>251</v>
      </c>
      <c r="D32" s="8" t="s">
        <v>326</v>
      </c>
      <c r="E32" s="8" t="s">
        <v>416</v>
      </c>
      <c r="F32" s="8" t="s">
        <v>417</v>
      </c>
      <c r="G32" s="22">
        <v>5</v>
      </c>
      <c r="H32" s="22" t="s">
        <v>361</v>
      </c>
      <c r="I32" s="8" t="s">
        <v>416</v>
      </c>
      <c r="J32" s="8" t="s">
        <v>417</v>
      </c>
      <c r="K32" s="22">
        <v>5</v>
      </c>
      <c r="L32" s="27"/>
      <c r="M32" s="28"/>
      <c r="N32" s="28"/>
      <c r="O32" s="27"/>
    </row>
    <row r="33" ht="27" spans="1:15">
      <c r="A33" s="22">
        <v>32</v>
      </c>
      <c r="B33" s="22" t="s">
        <v>468</v>
      </c>
      <c r="C33" s="8" t="s">
        <v>251</v>
      </c>
      <c r="D33" s="8" t="s">
        <v>326</v>
      </c>
      <c r="E33" s="8" t="s">
        <v>418</v>
      </c>
      <c r="F33" s="8" t="s">
        <v>341</v>
      </c>
      <c r="G33" s="22">
        <v>5</v>
      </c>
      <c r="H33" s="22" t="s">
        <v>361</v>
      </c>
      <c r="I33" s="8" t="s">
        <v>418</v>
      </c>
      <c r="J33" s="8" t="s">
        <v>341</v>
      </c>
      <c r="K33" s="22">
        <v>5</v>
      </c>
      <c r="L33" s="27"/>
      <c r="M33" s="28"/>
      <c r="N33" s="28"/>
      <c r="O33" s="27"/>
    </row>
    <row r="34" ht="40.5" spans="1:15">
      <c r="A34" s="22">
        <v>33</v>
      </c>
      <c r="B34" s="22" t="s">
        <v>469</v>
      </c>
      <c r="C34" s="8" t="s">
        <v>268</v>
      </c>
      <c r="D34" s="8" t="s">
        <v>361</v>
      </c>
      <c r="E34" s="8" t="s">
        <v>459</v>
      </c>
      <c r="F34" s="8" t="s">
        <v>460</v>
      </c>
      <c r="G34" s="22">
        <v>5</v>
      </c>
      <c r="H34" s="22" t="s">
        <v>348</v>
      </c>
      <c r="I34" s="8" t="s">
        <v>461</v>
      </c>
      <c r="J34" s="8" t="s">
        <v>462</v>
      </c>
      <c r="K34" s="22">
        <v>5</v>
      </c>
      <c r="L34" s="27"/>
      <c r="M34" s="28"/>
      <c r="N34" s="28"/>
      <c r="O34" s="27"/>
    </row>
    <row r="35" ht="40.5" spans="1:15">
      <c r="A35" s="22">
        <v>34</v>
      </c>
      <c r="B35" s="22" t="s">
        <v>469</v>
      </c>
      <c r="C35" s="8" t="s">
        <v>268</v>
      </c>
      <c r="D35" s="8" t="s">
        <v>361</v>
      </c>
      <c r="E35" s="8" t="s">
        <v>463</v>
      </c>
      <c r="F35" s="8" t="s">
        <v>464</v>
      </c>
      <c r="G35" s="22">
        <v>5</v>
      </c>
      <c r="H35" s="22" t="s">
        <v>348</v>
      </c>
      <c r="I35" s="8" t="s">
        <v>465</v>
      </c>
      <c r="J35" s="8" t="s">
        <v>466</v>
      </c>
      <c r="K35" s="22">
        <v>5</v>
      </c>
      <c r="L35" s="27"/>
      <c r="M35" s="28"/>
      <c r="N35" s="28"/>
      <c r="O35" s="27"/>
    </row>
    <row r="36" ht="27" spans="1:15">
      <c r="A36" s="22">
        <v>35</v>
      </c>
      <c r="B36" s="22" t="s">
        <v>470</v>
      </c>
      <c r="C36" s="8" t="s">
        <v>279</v>
      </c>
      <c r="D36" s="8" t="s">
        <v>361</v>
      </c>
      <c r="E36" s="8" t="s">
        <v>471</v>
      </c>
      <c r="F36" s="8" t="s">
        <v>472</v>
      </c>
      <c r="G36" s="22">
        <v>5</v>
      </c>
      <c r="H36" s="22" t="s">
        <v>348</v>
      </c>
      <c r="I36" s="8" t="s">
        <v>473</v>
      </c>
      <c r="J36" s="8" t="s">
        <v>472</v>
      </c>
      <c r="K36" s="22">
        <v>5</v>
      </c>
      <c r="L36" s="27"/>
      <c r="M36" s="28"/>
      <c r="N36" s="28"/>
      <c r="O36" s="27"/>
    </row>
    <row r="37" ht="27" spans="1:15">
      <c r="A37" s="22">
        <v>36</v>
      </c>
      <c r="B37" s="22" t="s">
        <v>470</v>
      </c>
      <c r="C37" s="8" t="s">
        <v>279</v>
      </c>
      <c r="D37" s="8" t="s">
        <v>361</v>
      </c>
      <c r="E37" s="8" t="s">
        <v>474</v>
      </c>
      <c r="F37" s="8" t="s">
        <v>475</v>
      </c>
      <c r="G37" s="22">
        <v>5</v>
      </c>
      <c r="H37" s="22" t="s">
        <v>348</v>
      </c>
      <c r="I37" s="8" t="s">
        <v>474</v>
      </c>
      <c r="J37" s="8" t="s">
        <v>475</v>
      </c>
      <c r="K37" s="22">
        <v>5</v>
      </c>
      <c r="L37" s="27"/>
      <c r="M37" s="28"/>
      <c r="N37" s="28"/>
      <c r="O37" s="27"/>
    </row>
    <row r="38" ht="40.5" spans="1:15">
      <c r="A38" s="22">
        <v>37</v>
      </c>
      <c r="B38" s="22" t="s">
        <v>476</v>
      </c>
      <c r="C38" s="8" t="s">
        <v>268</v>
      </c>
      <c r="D38" s="8" t="s">
        <v>361</v>
      </c>
      <c r="E38" s="8" t="s">
        <v>459</v>
      </c>
      <c r="F38" s="8" t="s">
        <v>460</v>
      </c>
      <c r="G38" s="22">
        <v>5</v>
      </c>
      <c r="H38" s="22" t="s">
        <v>348</v>
      </c>
      <c r="I38" s="8" t="s">
        <v>461</v>
      </c>
      <c r="J38" s="8" t="s">
        <v>462</v>
      </c>
      <c r="K38" s="22">
        <v>5</v>
      </c>
      <c r="L38" s="27"/>
      <c r="M38" s="28"/>
      <c r="N38" s="28"/>
      <c r="O38" s="27"/>
    </row>
    <row r="39" ht="40.5" spans="1:15">
      <c r="A39" s="22">
        <v>38</v>
      </c>
      <c r="B39" s="22" t="s">
        <v>476</v>
      </c>
      <c r="C39" s="8" t="s">
        <v>268</v>
      </c>
      <c r="D39" s="8" t="s">
        <v>361</v>
      </c>
      <c r="E39" s="8" t="s">
        <v>463</v>
      </c>
      <c r="F39" s="8" t="s">
        <v>464</v>
      </c>
      <c r="G39" s="22">
        <v>5</v>
      </c>
      <c r="H39" s="22" t="s">
        <v>348</v>
      </c>
      <c r="I39" s="8" t="s">
        <v>465</v>
      </c>
      <c r="J39" s="8" t="s">
        <v>466</v>
      </c>
      <c r="K39" s="22">
        <v>5</v>
      </c>
      <c r="L39" s="27"/>
      <c r="M39" s="28"/>
      <c r="N39" s="28"/>
      <c r="O39" s="27"/>
    </row>
    <row r="40" spans="1:15">
      <c r="A40" s="22">
        <v>39</v>
      </c>
      <c r="B40" s="22" t="s">
        <v>477</v>
      </c>
      <c r="C40" s="8" t="s">
        <v>257</v>
      </c>
      <c r="D40" s="8" t="s">
        <v>326</v>
      </c>
      <c r="E40" s="8" t="s">
        <v>428</v>
      </c>
      <c r="F40" s="8" t="s">
        <v>429</v>
      </c>
      <c r="G40" s="22">
        <v>5</v>
      </c>
      <c r="H40" s="22" t="s">
        <v>348</v>
      </c>
      <c r="I40" s="8" t="s">
        <v>430</v>
      </c>
      <c r="J40" s="8" t="s">
        <v>431</v>
      </c>
      <c r="K40" s="22">
        <v>5</v>
      </c>
      <c r="L40" s="27"/>
      <c r="M40" s="28"/>
      <c r="N40" s="28"/>
      <c r="O40" s="27"/>
    </row>
    <row r="41" ht="27" spans="1:15">
      <c r="A41" s="22">
        <v>40</v>
      </c>
      <c r="B41" s="22" t="s">
        <v>477</v>
      </c>
      <c r="C41" s="8" t="s">
        <v>257</v>
      </c>
      <c r="D41" s="8" t="s">
        <v>326</v>
      </c>
      <c r="E41" s="8" t="s">
        <v>425</v>
      </c>
      <c r="F41" s="8" t="s">
        <v>426</v>
      </c>
      <c r="G41" s="22">
        <v>5</v>
      </c>
      <c r="H41" s="22" t="s">
        <v>348</v>
      </c>
      <c r="I41" s="8" t="s">
        <v>432</v>
      </c>
      <c r="J41" s="8" t="s">
        <v>433</v>
      </c>
      <c r="K41" s="22">
        <v>5</v>
      </c>
      <c r="L41" s="27"/>
      <c r="M41" s="28"/>
      <c r="N41" s="28"/>
      <c r="O41" s="27"/>
    </row>
    <row r="42" ht="40.5" spans="1:15">
      <c r="A42" s="22">
        <v>41</v>
      </c>
      <c r="B42" s="22" t="s">
        <v>478</v>
      </c>
      <c r="C42" s="8" t="s">
        <v>243</v>
      </c>
      <c r="D42" s="8" t="s">
        <v>326</v>
      </c>
      <c r="E42" s="8" t="s">
        <v>398</v>
      </c>
      <c r="F42" s="8" t="s">
        <v>399</v>
      </c>
      <c r="G42" s="22">
        <v>5</v>
      </c>
      <c r="H42" s="22" t="s">
        <v>361</v>
      </c>
      <c r="I42" s="8" t="s">
        <v>400</v>
      </c>
      <c r="J42" s="8" t="s">
        <v>401</v>
      </c>
      <c r="K42" s="22">
        <v>5</v>
      </c>
      <c r="L42" s="27"/>
      <c r="M42" s="28"/>
      <c r="N42" s="28"/>
      <c r="O42" s="27"/>
    </row>
    <row r="43" ht="54" spans="1:15">
      <c r="A43" s="22">
        <v>42</v>
      </c>
      <c r="B43" s="22" t="s">
        <v>478</v>
      </c>
      <c r="C43" s="8" t="s">
        <v>243</v>
      </c>
      <c r="D43" s="8" t="s">
        <v>326</v>
      </c>
      <c r="E43" s="8" t="s">
        <v>402</v>
      </c>
      <c r="F43" s="8" t="s">
        <v>403</v>
      </c>
      <c r="G43" s="22">
        <v>5</v>
      </c>
      <c r="H43" s="22" t="s">
        <v>361</v>
      </c>
      <c r="I43" s="8" t="s">
        <v>404</v>
      </c>
      <c r="J43" s="8" t="s">
        <v>405</v>
      </c>
      <c r="K43" s="22">
        <v>5</v>
      </c>
      <c r="L43" s="27"/>
      <c r="M43" s="28"/>
      <c r="N43" s="28"/>
      <c r="O43" s="27"/>
    </row>
    <row r="44" ht="27" spans="1:15">
      <c r="A44" s="22">
        <v>43</v>
      </c>
      <c r="B44" s="22" t="s">
        <v>479</v>
      </c>
      <c r="C44" s="8" t="s">
        <v>249</v>
      </c>
      <c r="D44" s="8" t="s">
        <v>326</v>
      </c>
      <c r="E44" s="8" t="s">
        <v>407</v>
      </c>
      <c r="F44" s="8" t="s">
        <v>408</v>
      </c>
      <c r="G44" s="22">
        <v>5</v>
      </c>
      <c r="H44" s="22" t="s">
        <v>361</v>
      </c>
      <c r="I44" s="8" t="s">
        <v>409</v>
      </c>
      <c r="J44" s="8" t="s">
        <v>410</v>
      </c>
      <c r="K44" s="22">
        <v>5</v>
      </c>
      <c r="L44" s="27"/>
      <c r="M44" s="28"/>
      <c r="N44" s="28"/>
      <c r="O44" s="27"/>
    </row>
    <row r="45" ht="27" spans="1:15">
      <c r="A45" s="22">
        <v>44</v>
      </c>
      <c r="B45" s="22" t="s">
        <v>479</v>
      </c>
      <c r="C45" s="8" t="s">
        <v>249</v>
      </c>
      <c r="D45" s="8" t="s">
        <v>326</v>
      </c>
      <c r="E45" s="8" t="s">
        <v>411</v>
      </c>
      <c r="F45" s="8" t="s">
        <v>412</v>
      </c>
      <c r="G45" s="22">
        <v>5</v>
      </c>
      <c r="H45" s="22" t="s">
        <v>361</v>
      </c>
      <c r="I45" s="8" t="s">
        <v>413</v>
      </c>
      <c r="J45" s="8" t="s">
        <v>414</v>
      </c>
      <c r="K45" s="22">
        <v>5</v>
      </c>
      <c r="L45" s="27"/>
      <c r="M45" s="28"/>
      <c r="N45" s="28"/>
      <c r="O45" s="27"/>
    </row>
    <row r="46" ht="40.5" spans="1:15">
      <c r="A46" s="22">
        <v>45</v>
      </c>
      <c r="B46" s="22" t="s">
        <v>480</v>
      </c>
      <c r="C46" s="8" t="s">
        <v>231</v>
      </c>
      <c r="D46" s="8" t="s">
        <v>326</v>
      </c>
      <c r="E46" s="8" t="s">
        <v>392</v>
      </c>
      <c r="F46" s="8" t="s">
        <v>393</v>
      </c>
      <c r="G46" s="22">
        <v>5</v>
      </c>
      <c r="H46" s="22" t="s">
        <v>348</v>
      </c>
      <c r="I46" s="8" t="s">
        <v>392</v>
      </c>
      <c r="J46" s="8" t="s">
        <v>393</v>
      </c>
      <c r="K46" s="22">
        <v>5</v>
      </c>
      <c r="L46" s="27"/>
      <c r="M46" s="28"/>
      <c r="N46" s="28"/>
      <c r="O46" s="27"/>
    </row>
    <row r="47" ht="40.5" spans="1:15">
      <c r="A47" s="22">
        <v>46</v>
      </c>
      <c r="B47" s="22" t="s">
        <v>480</v>
      </c>
      <c r="C47" s="8" t="s">
        <v>231</v>
      </c>
      <c r="D47" s="8" t="s">
        <v>326</v>
      </c>
      <c r="E47" s="8" t="s">
        <v>396</v>
      </c>
      <c r="F47" s="8" t="s">
        <v>395</v>
      </c>
      <c r="G47" s="22">
        <v>5</v>
      </c>
      <c r="H47" s="22" t="s">
        <v>348</v>
      </c>
      <c r="I47" s="8" t="s">
        <v>396</v>
      </c>
      <c r="J47" s="8" t="s">
        <v>395</v>
      </c>
      <c r="K47" s="22">
        <v>5</v>
      </c>
      <c r="L47" s="27"/>
      <c r="M47" s="28"/>
      <c r="N47" s="28"/>
      <c r="O47" s="27"/>
    </row>
    <row r="48" ht="40.5" spans="1:15">
      <c r="A48" s="22">
        <v>47</v>
      </c>
      <c r="B48" s="22" t="s">
        <v>481</v>
      </c>
      <c r="C48" s="14" t="s">
        <v>264</v>
      </c>
      <c r="D48" s="8" t="s">
        <v>326</v>
      </c>
      <c r="E48" s="24" t="s">
        <v>444</v>
      </c>
      <c r="F48" s="24" t="s">
        <v>445</v>
      </c>
      <c r="G48" s="25">
        <v>5</v>
      </c>
      <c r="H48" s="22" t="s">
        <v>361</v>
      </c>
      <c r="I48" s="8" t="s">
        <v>446</v>
      </c>
      <c r="J48" s="8" t="s">
        <v>447</v>
      </c>
      <c r="K48" s="22">
        <v>5</v>
      </c>
      <c r="L48" s="27" t="s">
        <v>348</v>
      </c>
      <c r="M48" s="28" t="s">
        <v>448</v>
      </c>
      <c r="N48" s="28" t="s">
        <v>449</v>
      </c>
      <c r="O48" s="27">
        <v>5</v>
      </c>
    </row>
    <row r="49" ht="40.5" spans="1:15">
      <c r="A49" s="22">
        <v>48</v>
      </c>
      <c r="B49" s="22" t="s">
        <v>481</v>
      </c>
      <c r="C49" s="14" t="s">
        <v>264</v>
      </c>
      <c r="D49" s="8" t="s">
        <v>326</v>
      </c>
      <c r="E49" s="24" t="s">
        <v>450</v>
      </c>
      <c r="F49" s="24" t="s">
        <v>451</v>
      </c>
      <c r="G49" s="25">
        <v>5</v>
      </c>
      <c r="H49" s="22" t="s">
        <v>361</v>
      </c>
      <c r="I49" s="8" t="s">
        <v>452</v>
      </c>
      <c r="J49" s="8" t="s">
        <v>453</v>
      </c>
      <c r="K49" s="22">
        <v>5</v>
      </c>
      <c r="L49" s="27" t="s">
        <v>348</v>
      </c>
      <c r="M49" s="28" t="s">
        <v>454</v>
      </c>
      <c r="N49" s="28" t="s">
        <v>455</v>
      </c>
      <c r="O49" s="27">
        <v>5</v>
      </c>
    </row>
    <row r="50" ht="27" spans="1:15">
      <c r="A50" s="22">
        <v>49</v>
      </c>
      <c r="B50" s="22" t="s">
        <v>482</v>
      </c>
      <c r="C50" s="8" t="s">
        <v>279</v>
      </c>
      <c r="D50" s="8" t="s">
        <v>361</v>
      </c>
      <c r="E50" s="8" t="s">
        <v>471</v>
      </c>
      <c r="F50" s="8" t="s">
        <v>472</v>
      </c>
      <c r="G50" s="22">
        <v>5</v>
      </c>
      <c r="H50" s="22" t="s">
        <v>348</v>
      </c>
      <c r="I50" s="8" t="s">
        <v>473</v>
      </c>
      <c r="J50" s="8" t="s">
        <v>472</v>
      </c>
      <c r="K50" s="22">
        <v>5</v>
      </c>
      <c r="L50" s="27"/>
      <c r="M50" s="28"/>
      <c r="N50" s="28"/>
      <c r="O50" s="27"/>
    </row>
    <row r="51" ht="27" spans="1:15">
      <c r="A51" s="22">
        <v>50</v>
      </c>
      <c r="B51" s="22" t="s">
        <v>482</v>
      </c>
      <c r="C51" s="8" t="s">
        <v>279</v>
      </c>
      <c r="D51" s="8" t="s">
        <v>361</v>
      </c>
      <c r="E51" s="8" t="s">
        <v>474</v>
      </c>
      <c r="F51" s="8" t="s">
        <v>483</v>
      </c>
      <c r="G51" s="22">
        <v>5</v>
      </c>
      <c r="H51" s="22" t="s">
        <v>348</v>
      </c>
      <c r="I51" s="8" t="s">
        <v>474</v>
      </c>
      <c r="J51" s="8" t="s">
        <v>475</v>
      </c>
      <c r="K51" s="22">
        <v>5</v>
      </c>
      <c r="L51" s="27"/>
      <c r="M51" s="28"/>
      <c r="N51" s="28"/>
      <c r="O51" s="27"/>
    </row>
    <row r="52" ht="40.5" spans="1:15">
      <c r="A52" s="22">
        <v>51</v>
      </c>
      <c r="B52" s="22" t="s">
        <v>484</v>
      </c>
      <c r="C52" s="8" t="s">
        <v>243</v>
      </c>
      <c r="D52" s="8" t="s">
        <v>326</v>
      </c>
      <c r="E52" s="8" t="s">
        <v>398</v>
      </c>
      <c r="F52" s="8" t="s">
        <v>399</v>
      </c>
      <c r="G52" s="22">
        <v>5</v>
      </c>
      <c r="H52" s="22" t="s">
        <v>361</v>
      </c>
      <c r="I52" s="8" t="s">
        <v>400</v>
      </c>
      <c r="J52" s="8" t="s">
        <v>401</v>
      </c>
      <c r="K52" s="22">
        <v>5</v>
      </c>
      <c r="L52" s="27"/>
      <c r="M52" s="28"/>
      <c r="N52" s="28"/>
      <c r="O52" s="27"/>
    </row>
    <row r="53" ht="54" spans="1:15">
      <c r="A53" s="22">
        <v>52</v>
      </c>
      <c r="B53" s="22" t="s">
        <v>484</v>
      </c>
      <c r="C53" s="8" t="s">
        <v>243</v>
      </c>
      <c r="D53" s="8" t="s">
        <v>326</v>
      </c>
      <c r="E53" s="8" t="s">
        <v>402</v>
      </c>
      <c r="F53" s="8" t="s">
        <v>403</v>
      </c>
      <c r="G53" s="22">
        <v>5</v>
      </c>
      <c r="H53" s="22" t="s">
        <v>361</v>
      </c>
      <c r="I53" s="8" t="s">
        <v>404</v>
      </c>
      <c r="J53" s="8" t="s">
        <v>405</v>
      </c>
      <c r="K53" s="22">
        <v>5</v>
      </c>
      <c r="L53" s="27"/>
      <c r="M53" s="28"/>
      <c r="N53" s="28"/>
      <c r="O53" s="27"/>
    </row>
    <row r="54" ht="27" spans="1:15">
      <c r="A54" s="22">
        <v>53</v>
      </c>
      <c r="B54" s="22" t="s">
        <v>485</v>
      </c>
      <c r="C54" s="8" t="s">
        <v>249</v>
      </c>
      <c r="D54" s="8" t="s">
        <v>326</v>
      </c>
      <c r="E54" s="8" t="s">
        <v>407</v>
      </c>
      <c r="F54" s="8" t="s">
        <v>408</v>
      </c>
      <c r="G54" s="22">
        <v>5</v>
      </c>
      <c r="H54" s="22" t="s">
        <v>361</v>
      </c>
      <c r="I54" s="8" t="s">
        <v>409</v>
      </c>
      <c r="J54" s="8" t="s">
        <v>410</v>
      </c>
      <c r="K54" s="22">
        <v>5</v>
      </c>
      <c r="L54" s="27"/>
      <c r="M54" s="28"/>
      <c r="N54" s="28"/>
      <c r="O54" s="27"/>
    </row>
    <row r="55" ht="27" spans="1:15">
      <c r="A55" s="22">
        <v>54</v>
      </c>
      <c r="B55" s="22" t="s">
        <v>485</v>
      </c>
      <c r="C55" s="8" t="s">
        <v>249</v>
      </c>
      <c r="D55" s="8" t="s">
        <v>326</v>
      </c>
      <c r="E55" s="8" t="s">
        <v>411</v>
      </c>
      <c r="F55" s="8" t="s">
        <v>412</v>
      </c>
      <c r="G55" s="22">
        <v>5</v>
      </c>
      <c r="H55" s="22" t="s">
        <v>361</v>
      </c>
      <c r="I55" s="8" t="s">
        <v>413</v>
      </c>
      <c r="J55" s="8" t="s">
        <v>414</v>
      </c>
      <c r="K55" s="22">
        <v>5</v>
      </c>
      <c r="L55" s="27"/>
      <c r="M55" s="28"/>
      <c r="N55" s="28"/>
      <c r="O55" s="27"/>
    </row>
    <row r="56" ht="40.5" spans="1:15">
      <c r="A56" s="22">
        <v>55</v>
      </c>
      <c r="B56" s="22" t="s">
        <v>486</v>
      </c>
      <c r="C56" s="8" t="s">
        <v>268</v>
      </c>
      <c r="D56" s="8" t="s">
        <v>361</v>
      </c>
      <c r="E56" s="8" t="s">
        <v>459</v>
      </c>
      <c r="F56" s="8" t="s">
        <v>460</v>
      </c>
      <c r="G56" s="22">
        <v>5</v>
      </c>
      <c r="H56" s="22" t="s">
        <v>348</v>
      </c>
      <c r="I56" s="8" t="s">
        <v>461</v>
      </c>
      <c r="J56" s="8" t="s">
        <v>462</v>
      </c>
      <c r="K56" s="22">
        <v>5</v>
      </c>
      <c r="L56" s="27"/>
      <c r="M56" s="28"/>
      <c r="N56" s="28"/>
      <c r="O56" s="27"/>
    </row>
    <row r="57" ht="40.5" spans="1:15">
      <c r="A57" s="22">
        <v>56</v>
      </c>
      <c r="B57" s="22" t="s">
        <v>486</v>
      </c>
      <c r="C57" s="8" t="s">
        <v>268</v>
      </c>
      <c r="D57" s="8" t="s">
        <v>361</v>
      </c>
      <c r="E57" s="8" t="s">
        <v>463</v>
      </c>
      <c r="F57" s="8" t="s">
        <v>464</v>
      </c>
      <c r="G57" s="22">
        <v>5</v>
      </c>
      <c r="H57" s="22" t="s">
        <v>348</v>
      </c>
      <c r="I57" s="8" t="s">
        <v>465</v>
      </c>
      <c r="J57" s="8" t="s">
        <v>466</v>
      </c>
      <c r="K57" s="22">
        <v>5</v>
      </c>
      <c r="L57" s="27"/>
      <c r="M57" s="28"/>
      <c r="N57" s="28"/>
      <c r="O57" s="27"/>
    </row>
    <row r="58" ht="40.5" spans="1:15">
      <c r="A58" s="22">
        <v>57</v>
      </c>
      <c r="B58" s="22" t="s">
        <v>487</v>
      </c>
      <c r="C58" s="8" t="s">
        <v>243</v>
      </c>
      <c r="D58" s="8" t="s">
        <v>326</v>
      </c>
      <c r="E58" s="8" t="s">
        <v>398</v>
      </c>
      <c r="F58" s="8" t="s">
        <v>399</v>
      </c>
      <c r="G58" s="22">
        <v>5</v>
      </c>
      <c r="H58" s="22" t="s">
        <v>361</v>
      </c>
      <c r="I58" s="8" t="s">
        <v>400</v>
      </c>
      <c r="J58" s="8" t="s">
        <v>401</v>
      </c>
      <c r="K58" s="22">
        <v>5</v>
      </c>
      <c r="L58" s="27"/>
      <c r="M58" s="28"/>
      <c r="N58" s="28"/>
      <c r="O58" s="27"/>
    </row>
    <row r="59" ht="54" spans="1:15">
      <c r="A59" s="22">
        <v>58</v>
      </c>
      <c r="B59" s="22" t="s">
        <v>487</v>
      </c>
      <c r="C59" s="8" t="s">
        <v>243</v>
      </c>
      <c r="D59" s="8" t="s">
        <v>326</v>
      </c>
      <c r="E59" s="8" t="s">
        <v>402</v>
      </c>
      <c r="F59" s="8" t="s">
        <v>403</v>
      </c>
      <c r="G59" s="22">
        <v>5</v>
      </c>
      <c r="H59" s="22" t="s">
        <v>361</v>
      </c>
      <c r="I59" s="8" t="s">
        <v>404</v>
      </c>
      <c r="J59" s="8" t="s">
        <v>405</v>
      </c>
      <c r="K59" s="22">
        <v>5</v>
      </c>
      <c r="L59" s="27"/>
      <c r="M59" s="28"/>
      <c r="N59" s="28"/>
      <c r="O59" s="27"/>
    </row>
    <row r="60" ht="27" spans="1:15">
      <c r="A60" s="22">
        <v>59</v>
      </c>
      <c r="B60" s="22" t="s">
        <v>488</v>
      </c>
      <c r="C60" s="8" t="s">
        <v>249</v>
      </c>
      <c r="D60" s="8" t="s">
        <v>326</v>
      </c>
      <c r="E60" s="8" t="s">
        <v>407</v>
      </c>
      <c r="F60" s="8" t="s">
        <v>408</v>
      </c>
      <c r="G60" s="22">
        <v>5</v>
      </c>
      <c r="H60" s="22" t="s">
        <v>361</v>
      </c>
      <c r="I60" s="8" t="s">
        <v>409</v>
      </c>
      <c r="J60" s="8" t="s">
        <v>410</v>
      </c>
      <c r="K60" s="22">
        <v>5</v>
      </c>
      <c r="L60" s="27"/>
      <c r="M60" s="28"/>
      <c r="N60" s="28"/>
      <c r="O60" s="27"/>
    </row>
    <row r="61" ht="27" spans="1:15">
      <c r="A61" s="22">
        <v>60</v>
      </c>
      <c r="B61" s="22" t="s">
        <v>488</v>
      </c>
      <c r="C61" s="8" t="s">
        <v>249</v>
      </c>
      <c r="D61" s="8" t="s">
        <v>326</v>
      </c>
      <c r="E61" s="8" t="s">
        <v>411</v>
      </c>
      <c r="F61" s="8" t="s">
        <v>412</v>
      </c>
      <c r="G61" s="22">
        <v>5</v>
      </c>
      <c r="H61" s="22" t="s">
        <v>361</v>
      </c>
      <c r="I61" s="8" t="s">
        <v>413</v>
      </c>
      <c r="J61" s="8" t="s">
        <v>414</v>
      </c>
      <c r="K61" s="22">
        <v>5</v>
      </c>
      <c r="L61" s="27"/>
      <c r="M61" s="28"/>
      <c r="N61" s="28"/>
      <c r="O61" s="27"/>
    </row>
    <row r="62" ht="40.5" spans="1:15">
      <c r="A62" s="22">
        <v>61</v>
      </c>
      <c r="B62" s="22" t="s">
        <v>489</v>
      </c>
      <c r="C62" s="8" t="s">
        <v>231</v>
      </c>
      <c r="D62" s="8" t="s">
        <v>326</v>
      </c>
      <c r="E62" s="8" t="s">
        <v>392</v>
      </c>
      <c r="F62" s="8" t="s">
        <v>393</v>
      </c>
      <c r="G62" s="22">
        <v>5</v>
      </c>
      <c r="H62" s="22" t="s">
        <v>348</v>
      </c>
      <c r="I62" s="8" t="s">
        <v>392</v>
      </c>
      <c r="J62" s="8" t="s">
        <v>393</v>
      </c>
      <c r="K62" s="22">
        <v>5</v>
      </c>
      <c r="L62" s="27"/>
      <c r="M62" s="28"/>
      <c r="N62" s="28"/>
      <c r="O62" s="27"/>
    </row>
    <row r="63" ht="40.5" spans="1:15">
      <c r="A63" s="22">
        <v>62</v>
      </c>
      <c r="B63" s="22" t="s">
        <v>489</v>
      </c>
      <c r="C63" s="8" t="s">
        <v>231</v>
      </c>
      <c r="D63" s="8" t="s">
        <v>326</v>
      </c>
      <c r="E63" s="8" t="s">
        <v>396</v>
      </c>
      <c r="F63" s="8" t="s">
        <v>395</v>
      </c>
      <c r="G63" s="22">
        <v>5</v>
      </c>
      <c r="H63" s="22" t="s">
        <v>348</v>
      </c>
      <c r="I63" s="8" t="s">
        <v>396</v>
      </c>
      <c r="J63" s="8" t="s">
        <v>395</v>
      </c>
      <c r="K63" s="22">
        <v>5</v>
      </c>
      <c r="L63" s="27"/>
      <c r="M63" s="28"/>
      <c r="N63" s="28"/>
      <c r="O63" s="27"/>
    </row>
    <row r="64" ht="27" spans="1:15">
      <c r="A64" s="22">
        <v>63</v>
      </c>
      <c r="B64" s="22" t="s">
        <v>490</v>
      </c>
      <c r="C64" s="8" t="s">
        <v>262</v>
      </c>
      <c r="D64" s="8" t="s">
        <v>326</v>
      </c>
      <c r="E64" s="8" t="s">
        <v>438</v>
      </c>
      <c r="F64" s="8" t="s">
        <v>439</v>
      </c>
      <c r="G64" s="22">
        <v>5</v>
      </c>
      <c r="H64" s="22" t="s">
        <v>361</v>
      </c>
      <c r="I64" s="8" t="s">
        <v>438</v>
      </c>
      <c r="J64" s="8" t="s">
        <v>439</v>
      </c>
      <c r="K64" s="22">
        <v>5</v>
      </c>
      <c r="L64" s="27" t="s">
        <v>348</v>
      </c>
      <c r="M64" s="28" t="s">
        <v>438</v>
      </c>
      <c r="N64" s="28" t="s">
        <v>439</v>
      </c>
      <c r="O64" s="27">
        <v>5</v>
      </c>
    </row>
    <row r="65" ht="27" spans="1:15">
      <c r="A65" s="22">
        <v>64</v>
      </c>
      <c r="B65" s="22" t="s">
        <v>490</v>
      </c>
      <c r="C65" s="8" t="s">
        <v>262</v>
      </c>
      <c r="D65" s="8" t="s">
        <v>326</v>
      </c>
      <c r="E65" s="8" t="s">
        <v>440</v>
      </c>
      <c r="F65" s="8" t="s">
        <v>341</v>
      </c>
      <c r="G65" s="22">
        <v>5</v>
      </c>
      <c r="H65" s="22" t="s">
        <v>361</v>
      </c>
      <c r="I65" s="8" t="s">
        <v>440</v>
      </c>
      <c r="J65" s="8" t="s">
        <v>341</v>
      </c>
      <c r="K65" s="22">
        <v>5</v>
      </c>
      <c r="L65" s="27" t="s">
        <v>348</v>
      </c>
      <c r="M65" s="28" t="s">
        <v>440</v>
      </c>
      <c r="N65" s="28" t="s">
        <v>341</v>
      </c>
      <c r="O65" s="27">
        <v>5</v>
      </c>
    </row>
    <row r="66" ht="27" spans="1:15">
      <c r="A66" s="22">
        <v>65</v>
      </c>
      <c r="B66" s="22" t="s">
        <v>491</v>
      </c>
      <c r="C66" s="8" t="s">
        <v>249</v>
      </c>
      <c r="D66" s="8" t="s">
        <v>326</v>
      </c>
      <c r="E66" s="8" t="s">
        <v>407</v>
      </c>
      <c r="F66" s="8" t="s">
        <v>408</v>
      </c>
      <c r="G66" s="22">
        <v>5</v>
      </c>
      <c r="H66" s="22" t="s">
        <v>361</v>
      </c>
      <c r="I66" s="8" t="s">
        <v>409</v>
      </c>
      <c r="J66" s="8" t="s">
        <v>410</v>
      </c>
      <c r="K66" s="22">
        <v>5</v>
      </c>
      <c r="L66" s="27"/>
      <c r="M66" s="28"/>
      <c r="N66" s="28"/>
      <c r="O66" s="27"/>
    </row>
    <row r="67" ht="27" spans="1:15">
      <c r="A67" s="22">
        <v>66</v>
      </c>
      <c r="B67" s="22" t="s">
        <v>491</v>
      </c>
      <c r="C67" s="8" t="s">
        <v>249</v>
      </c>
      <c r="D67" s="8" t="s">
        <v>326</v>
      </c>
      <c r="E67" s="8" t="s">
        <v>411</v>
      </c>
      <c r="F67" s="8" t="s">
        <v>412</v>
      </c>
      <c r="G67" s="22">
        <v>5</v>
      </c>
      <c r="H67" s="22" t="s">
        <v>361</v>
      </c>
      <c r="I67" s="8" t="s">
        <v>413</v>
      </c>
      <c r="J67" s="8" t="s">
        <v>414</v>
      </c>
      <c r="K67" s="22">
        <v>5</v>
      </c>
      <c r="L67" s="27"/>
      <c r="M67" s="28"/>
      <c r="N67" s="28"/>
      <c r="O67" s="27"/>
    </row>
    <row r="68" ht="27" spans="1:15">
      <c r="A68" s="22">
        <v>67</v>
      </c>
      <c r="B68" s="22" t="s">
        <v>492</v>
      </c>
      <c r="C68" s="8" t="s">
        <v>251</v>
      </c>
      <c r="D68" s="8" t="s">
        <v>326</v>
      </c>
      <c r="E68" s="8" t="s">
        <v>416</v>
      </c>
      <c r="F68" s="8" t="s">
        <v>417</v>
      </c>
      <c r="G68" s="22">
        <v>5</v>
      </c>
      <c r="H68" s="22" t="s">
        <v>361</v>
      </c>
      <c r="I68" s="8" t="s">
        <v>416</v>
      </c>
      <c r="J68" s="8" t="s">
        <v>417</v>
      </c>
      <c r="K68" s="22">
        <v>5</v>
      </c>
      <c r="L68" s="27"/>
      <c r="M68" s="28"/>
      <c r="N68" s="28"/>
      <c r="O68" s="27"/>
    </row>
    <row r="69" ht="27" spans="1:15">
      <c r="A69" s="22">
        <v>68</v>
      </c>
      <c r="B69" s="22" t="s">
        <v>492</v>
      </c>
      <c r="C69" s="8" t="s">
        <v>251</v>
      </c>
      <c r="D69" s="8" t="s">
        <v>326</v>
      </c>
      <c r="E69" s="8" t="s">
        <v>418</v>
      </c>
      <c r="F69" s="8" t="s">
        <v>341</v>
      </c>
      <c r="G69" s="22">
        <v>5</v>
      </c>
      <c r="H69" s="22" t="s">
        <v>361</v>
      </c>
      <c r="I69" s="8" t="s">
        <v>418</v>
      </c>
      <c r="J69" s="8" t="s">
        <v>341</v>
      </c>
      <c r="K69" s="22">
        <v>5</v>
      </c>
      <c r="L69" s="27"/>
      <c r="M69" s="28"/>
      <c r="N69" s="28"/>
      <c r="O69" s="27"/>
    </row>
    <row r="70" ht="40.5" spans="1:15">
      <c r="A70" s="22">
        <v>69</v>
      </c>
      <c r="B70" s="22" t="s">
        <v>493</v>
      </c>
      <c r="C70" s="23" t="s">
        <v>255</v>
      </c>
      <c r="D70" s="8" t="s">
        <v>369</v>
      </c>
      <c r="E70" s="8" t="s">
        <v>420</v>
      </c>
      <c r="F70" s="8" t="s">
        <v>421</v>
      </c>
      <c r="G70" s="22">
        <v>5</v>
      </c>
      <c r="H70" s="22" t="s">
        <v>326</v>
      </c>
      <c r="I70" s="8" t="s">
        <v>422</v>
      </c>
      <c r="J70" s="8" t="s">
        <v>412</v>
      </c>
      <c r="K70" s="22">
        <v>5</v>
      </c>
      <c r="L70" s="27"/>
      <c r="M70" s="28"/>
      <c r="N70" s="28"/>
      <c r="O70" s="27"/>
    </row>
    <row r="71" ht="67.5" spans="1:15">
      <c r="A71" s="22">
        <v>70</v>
      </c>
      <c r="B71" s="22" t="s">
        <v>493</v>
      </c>
      <c r="C71" s="23" t="s">
        <v>255</v>
      </c>
      <c r="D71" s="8" t="s">
        <v>369</v>
      </c>
      <c r="E71" s="8" t="s">
        <v>423</v>
      </c>
      <c r="F71" s="8" t="s">
        <v>424</v>
      </c>
      <c r="G71" s="22">
        <v>5</v>
      </c>
      <c r="H71" s="22" t="s">
        <v>326</v>
      </c>
      <c r="I71" s="8" t="s">
        <v>425</v>
      </c>
      <c r="J71" s="8" t="s">
        <v>494</v>
      </c>
      <c r="K71" s="22">
        <v>5</v>
      </c>
      <c r="L71" s="27"/>
      <c r="M71" s="28"/>
      <c r="N71" s="28"/>
      <c r="O71" s="27"/>
    </row>
    <row r="72" spans="1:15">
      <c r="A72" s="22">
        <v>71</v>
      </c>
      <c r="B72" s="22" t="s">
        <v>495</v>
      </c>
      <c r="C72" s="8" t="s">
        <v>257</v>
      </c>
      <c r="D72" s="8" t="s">
        <v>326</v>
      </c>
      <c r="E72" s="8" t="s">
        <v>428</v>
      </c>
      <c r="F72" s="8" t="s">
        <v>429</v>
      </c>
      <c r="G72" s="22">
        <v>5</v>
      </c>
      <c r="H72" s="22" t="s">
        <v>348</v>
      </c>
      <c r="I72" s="8" t="s">
        <v>430</v>
      </c>
      <c r="J72" s="8" t="s">
        <v>431</v>
      </c>
      <c r="K72" s="22">
        <v>5</v>
      </c>
      <c r="L72" s="27"/>
      <c r="M72" s="28"/>
      <c r="N72" s="28"/>
      <c r="O72" s="27"/>
    </row>
    <row r="73" ht="27" spans="1:15">
      <c r="A73" s="22">
        <v>72</v>
      </c>
      <c r="B73" s="22" t="s">
        <v>495</v>
      </c>
      <c r="C73" s="8" t="s">
        <v>257</v>
      </c>
      <c r="D73" s="8" t="s">
        <v>326</v>
      </c>
      <c r="E73" s="8" t="s">
        <v>425</v>
      </c>
      <c r="F73" s="8" t="s">
        <v>426</v>
      </c>
      <c r="G73" s="22">
        <v>5</v>
      </c>
      <c r="H73" s="22" t="s">
        <v>348</v>
      </c>
      <c r="I73" s="8" t="s">
        <v>432</v>
      </c>
      <c r="J73" s="8" t="s">
        <v>433</v>
      </c>
      <c r="K73" s="22">
        <v>5</v>
      </c>
      <c r="L73" s="27"/>
      <c r="M73" s="28"/>
      <c r="N73" s="28"/>
      <c r="O73" s="27"/>
    </row>
    <row r="74" ht="27" spans="1:15">
      <c r="A74" s="22">
        <v>73</v>
      </c>
      <c r="B74" s="22" t="s">
        <v>496</v>
      </c>
      <c r="C74" s="8" t="s">
        <v>249</v>
      </c>
      <c r="D74" s="8" t="s">
        <v>326</v>
      </c>
      <c r="E74" s="8" t="s">
        <v>407</v>
      </c>
      <c r="F74" s="8" t="s">
        <v>408</v>
      </c>
      <c r="G74" s="22">
        <v>5</v>
      </c>
      <c r="H74" s="22" t="s">
        <v>361</v>
      </c>
      <c r="I74" s="8" t="s">
        <v>409</v>
      </c>
      <c r="J74" s="8" t="s">
        <v>410</v>
      </c>
      <c r="K74" s="22">
        <v>5</v>
      </c>
      <c r="L74" s="27"/>
      <c r="M74" s="28"/>
      <c r="N74" s="28"/>
      <c r="O74" s="27"/>
    </row>
    <row r="75" ht="27" spans="1:15">
      <c r="A75" s="22">
        <v>74</v>
      </c>
      <c r="B75" s="22" t="s">
        <v>496</v>
      </c>
      <c r="C75" s="8" t="s">
        <v>249</v>
      </c>
      <c r="D75" s="8" t="s">
        <v>326</v>
      </c>
      <c r="E75" s="8" t="s">
        <v>411</v>
      </c>
      <c r="F75" s="8" t="s">
        <v>412</v>
      </c>
      <c r="G75" s="22">
        <v>5</v>
      </c>
      <c r="H75" s="22" t="s">
        <v>361</v>
      </c>
      <c r="I75" s="8" t="s">
        <v>413</v>
      </c>
      <c r="J75" s="8" t="s">
        <v>414</v>
      </c>
      <c r="K75" s="22">
        <v>5</v>
      </c>
      <c r="L75" s="27"/>
      <c r="M75" s="28"/>
      <c r="N75" s="28"/>
      <c r="O75" s="27"/>
    </row>
    <row r="76" ht="40.5" spans="1:15">
      <c r="A76" s="22">
        <v>75</v>
      </c>
      <c r="B76" s="22" t="s">
        <v>497</v>
      </c>
      <c r="C76" s="14" t="s">
        <v>264</v>
      </c>
      <c r="D76" s="8" t="s">
        <v>326</v>
      </c>
      <c r="E76" s="24" t="s">
        <v>444</v>
      </c>
      <c r="F76" s="24" t="s">
        <v>445</v>
      </c>
      <c r="G76" s="25">
        <v>5</v>
      </c>
      <c r="H76" s="22" t="s">
        <v>361</v>
      </c>
      <c r="I76" s="8" t="s">
        <v>446</v>
      </c>
      <c r="J76" s="8" t="s">
        <v>447</v>
      </c>
      <c r="K76" s="22">
        <v>5</v>
      </c>
      <c r="L76" s="27" t="s">
        <v>348</v>
      </c>
      <c r="M76" s="28" t="s">
        <v>448</v>
      </c>
      <c r="N76" s="28" t="s">
        <v>449</v>
      </c>
      <c r="O76" s="27">
        <v>5</v>
      </c>
    </row>
    <row r="77" ht="40.5" spans="1:15">
      <c r="A77" s="22">
        <v>76</v>
      </c>
      <c r="B77" s="22" t="s">
        <v>497</v>
      </c>
      <c r="C77" s="14" t="s">
        <v>264</v>
      </c>
      <c r="D77" s="8" t="s">
        <v>326</v>
      </c>
      <c r="E77" s="24" t="s">
        <v>450</v>
      </c>
      <c r="F77" s="24" t="s">
        <v>451</v>
      </c>
      <c r="G77" s="25">
        <v>5</v>
      </c>
      <c r="H77" s="22" t="s">
        <v>361</v>
      </c>
      <c r="I77" s="8" t="s">
        <v>452</v>
      </c>
      <c r="J77" s="8" t="s">
        <v>453</v>
      </c>
      <c r="K77" s="22">
        <v>5</v>
      </c>
      <c r="L77" s="27" t="s">
        <v>348</v>
      </c>
      <c r="M77" s="28" t="s">
        <v>454</v>
      </c>
      <c r="N77" s="28" t="s">
        <v>455</v>
      </c>
      <c r="O77" s="27">
        <v>5</v>
      </c>
    </row>
    <row r="78" ht="40.5" spans="1:15">
      <c r="A78" s="22">
        <v>77</v>
      </c>
      <c r="B78" s="22" t="s">
        <v>498</v>
      </c>
      <c r="C78" s="8" t="s">
        <v>231</v>
      </c>
      <c r="D78" s="8" t="s">
        <v>326</v>
      </c>
      <c r="E78" s="8" t="s">
        <v>392</v>
      </c>
      <c r="F78" s="8" t="s">
        <v>393</v>
      </c>
      <c r="G78" s="22">
        <v>5</v>
      </c>
      <c r="H78" s="22" t="s">
        <v>348</v>
      </c>
      <c r="I78" s="8" t="s">
        <v>392</v>
      </c>
      <c r="J78" s="8" t="s">
        <v>393</v>
      </c>
      <c r="K78" s="22">
        <v>5</v>
      </c>
      <c r="L78" s="27"/>
      <c r="M78" s="28"/>
      <c r="N78" s="28"/>
      <c r="O78" s="27"/>
    </row>
    <row r="79" ht="40.5" spans="1:15">
      <c r="A79" s="22">
        <v>78</v>
      </c>
      <c r="B79" s="22" t="s">
        <v>498</v>
      </c>
      <c r="C79" s="8" t="s">
        <v>231</v>
      </c>
      <c r="D79" s="8" t="s">
        <v>326</v>
      </c>
      <c r="E79" s="8" t="s">
        <v>396</v>
      </c>
      <c r="F79" s="8" t="s">
        <v>395</v>
      </c>
      <c r="G79" s="22">
        <v>5</v>
      </c>
      <c r="H79" s="22" t="s">
        <v>348</v>
      </c>
      <c r="I79" s="8" t="s">
        <v>396</v>
      </c>
      <c r="J79" s="8" t="s">
        <v>395</v>
      </c>
      <c r="K79" s="22">
        <v>5</v>
      </c>
      <c r="L79" s="27"/>
      <c r="M79" s="28"/>
      <c r="N79" s="28"/>
      <c r="O79" s="27"/>
    </row>
    <row r="80" ht="27" spans="1:15">
      <c r="A80" s="22">
        <v>79</v>
      </c>
      <c r="B80" s="22" t="s">
        <v>499</v>
      </c>
      <c r="C80" s="8" t="s">
        <v>251</v>
      </c>
      <c r="D80" s="8" t="s">
        <v>326</v>
      </c>
      <c r="E80" s="8" t="s">
        <v>416</v>
      </c>
      <c r="F80" s="8" t="s">
        <v>417</v>
      </c>
      <c r="G80" s="22">
        <v>5</v>
      </c>
      <c r="H80" s="22" t="s">
        <v>361</v>
      </c>
      <c r="I80" s="8" t="s">
        <v>416</v>
      </c>
      <c r="J80" s="8" t="s">
        <v>417</v>
      </c>
      <c r="K80" s="22">
        <v>5</v>
      </c>
      <c r="L80" s="27"/>
      <c r="M80" s="28"/>
      <c r="N80" s="28"/>
      <c r="O80" s="27"/>
    </row>
    <row r="81" ht="27" spans="1:15">
      <c r="A81" s="22">
        <v>80</v>
      </c>
      <c r="B81" s="22" t="s">
        <v>499</v>
      </c>
      <c r="C81" s="8" t="s">
        <v>251</v>
      </c>
      <c r="D81" s="8" t="s">
        <v>326</v>
      </c>
      <c r="E81" s="8" t="s">
        <v>418</v>
      </c>
      <c r="F81" s="8" t="s">
        <v>341</v>
      </c>
      <c r="G81" s="22">
        <v>5</v>
      </c>
      <c r="H81" s="22" t="s">
        <v>361</v>
      </c>
      <c r="I81" s="8" t="s">
        <v>418</v>
      </c>
      <c r="J81" s="8" t="s">
        <v>341</v>
      </c>
      <c r="K81" s="22">
        <v>5</v>
      </c>
      <c r="L81" s="27"/>
      <c r="M81" s="28"/>
      <c r="N81" s="28"/>
      <c r="O81" s="27"/>
    </row>
    <row r="82" ht="27" spans="1:15">
      <c r="A82" s="22">
        <v>81</v>
      </c>
      <c r="B82" s="22" t="s">
        <v>500</v>
      </c>
      <c r="C82" s="8" t="s">
        <v>262</v>
      </c>
      <c r="D82" s="8" t="s">
        <v>326</v>
      </c>
      <c r="E82" s="8" t="s">
        <v>438</v>
      </c>
      <c r="F82" s="8" t="s">
        <v>439</v>
      </c>
      <c r="G82" s="22">
        <v>5</v>
      </c>
      <c r="H82" s="22" t="s">
        <v>361</v>
      </c>
      <c r="I82" s="8" t="s">
        <v>438</v>
      </c>
      <c r="J82" s="8" t="s">
        <v>439</v>
      </c>
      <c r="K82" s="22">
        <v>5</v>
      </c>
      <c r="L82" s="27" t="s">
        <v>348</v>
      </c>
      <c r="M82" s="28" t="s">
        <v>438</v>
      </c>
      <c r="N82" s="28" t="s">
        <v>439</v>
      </c>
      <c r="O82" s="27">
        <v>5</v>
      </c>
    </row>
    <row r="83" ht="27" spans="1:15">
      <c r="A83" s="22">
        <v>82</v>
      </c>
      <c r="B83" s="22" t="s">
        <v>500</v>
      </c>
      <c r="C83" s="8" t="s">
        <v>262</v>
      </c>
      <c r="D83" s="8" t="s">
        <v>326</v>
      </c>
      <c r="E83" s="8" t="s">
        <v>440</v>
      </c>
      <c r="F83" s="8" t="s">
        <v>341</v>
      </c>
      <c r="G83" s="22">
        <v>5</v>
      </c>
      <c r="H83" s="22" t="s">
        <v>361</v>
      </c>
      <c r="I83" s="8" t="s">
        <v>440</v>
      </c>
      <c r="J83" s="8" t="s">
        <v>341</v>
      </c>
      <c r="K83" s="22">
        <v>5</v>
      </c>
      <c r="L83" s="27" t="s">
        <v>348</v>
      </c>
      <c r="M83" s="28" t="s">
        <v>440</v>
      </c>
      <c r="N83" s="28" t="s">
        <v>341</v>
      </c>
      <c r="O83" s="27">
        <v>5</v>
      </c>
    </row>
    <row r="84" ht="40.5" spans="1:15">
      <c r="A84" s="22">
        <v>83</v>
      </c>
      <c r="B84" s="22" t="s">
        <v>501</v>
      </c>
      <c r="C84" s="8" t="s">
        <v>268</v>
      </c>
      <c r="D84" s="8" t="s">
        <v>361</v>
      </c>
      <c r="E84" s="8" t="s">
        <v>459</v>
      </c>
      <c r="F84" s="8" t="s">
        <v>460</v>
      </c>
      <c r="G84" s="22">
        <v>5</v>
      </c>
      <c r="H84" s="22" t="s">
        <v>348</v>
      </c>
      <c r="I84" s="8" t="s">
        <v>461</v>
      </c>
      <c r="J84" s="8" t="s">
        <v>462</v>
      </c>
      <c r="K84" s="22">
        <v>5</v>
      </c>
      <c r="L84" s="27"/>
      <c r="M84" s="28"/>
      <c r="N84" s="28"/>
      <c r="O84" s="27"/>
    </row>
    <row r="85" ht="40.5" spans="1:15">
      <c r="A85" s="22">
        <v>84</v>
      </c>
      <c r="B85" s="22" t="s">
        <v>501</v>
      </c>
      <c r="C85" s="8" t="s">
        <v>268</v>
      </c>
      <c r="D85" s="8" t="s">
        <v>361</v>
      </c>
      <c r="E85" s="8" t="s">
        <v>463</v>
      </c>
      <c r="F85" s="8" t="s">
        <v>464</v>
      </c>
      <c r="G85" s="22">
        <v>5</v>
      </c>
      <c r="H85" s="22" t="s">
        <v>348</v>
      </c>
      <c r="I85" s="8" t="s">
        <v>465</v>
      </c>
      <c r="J85" s="8" t="s">
        <v>466</v>
      </c>
      <c r="K85" s="22">
        <v>5</v>
      </c>
      <c r="L85" s="27"/>
      <c r="M85" s="28"/>
      <c r="N85" s="28"/>
      <c r="O85" s="27"/>
    </row>
    <row r="86" ht="27" spans="1:15">
      <c r="A86" s="22">
        <v>85</v>
      </c>
      <c r="B86" s="22" t="s">
        <v>502</v>
      </c>
      <c r="C86" s="8" t="s">
        <v>251</v>
      </c>
      <c r="D86" s="8" t="s">
        <v>326</v>
      </c>
      <c r="E86" s="8" t="s">
        <v>416</v>
      </c>
      <c r="F86" s="8" t="s">
        <v>417</v>
      </c>
      <c r="G86" s="22">
        <v>5</v>
      </c>
      <c r="H86" s="22" t="s">
        <v>361</v>
      </c>
      <c r="I86" s="8" t="s">
        <v>416</v>
      </c>
      <c r="J86" s="8" t="s">
        <v>417</v>
      </c>
      <c r="K86" s="22">
        <v>5</v>
      </c>
      <c r="L86" s="27"/>
      <c r="M86" s="28"/>
      <c r="N86" s="28"/>
      <c r="O86" s="27"/>
    </row>
    <row r="87" ht="27" spans="1:15">
      <c r="A87" s="22">
        <v>86</v>
      </c>
      <c r="B87" s="22" t="s">
        <v>502</v>
      </c>
      <c r="C87" s="8" t="s">
        <v>251</v>
      </c>
      <c r="D87" s="8" t="s">
        <v>326</v>
      </c>
      <c r="E87" s="8" t="s">
        <v>418</v>
      </c>
      <c r="F87" s="8" t="s">
        <v>341</v>
      </c>
      <c r="G87" s="22">
        <v>5</v>
      </c>
      <c r="H87" s="22" t="s">
        <v>361</v>
      </c>
      <c r="I87" s="8" t="s">
        <v>418</v>
      </c>
      <c r="J87" s="8" t="s">
        <v>341</v>
      </c>
      <c r="K87" s="22">
        <v>5</v>
      </c>
      <c r="L87" s="27"/>
      <c r="M87" s="28"/>
      <c r="N87" s="28"/>
      <c r="O87" s="27"/>
    </row>
    <row r="88" ht="40.5" spans="1:15">
      <c r="A88" s="22">
        <v>87</v>
      </c>
      <c r="B88" s="22" t="s">
        <v>503</v>
      </c>
      <c r="C88" s="8" t="s">
        <v>231</v>
      </c>
      <c r="D88" s="8" t="s">
        <v>326</v>
      </c>
      <c r="E88" s="8" t="s">
        <v>392</v>
      </c>
      <c r="F88" s="8" t="s">
        <v>393</v>
      </c>
      <c r="G88" s="22">
        <v>5</v>
      </c>
      <c r="H88" s="22" t="s">
        <v>348</v>
      </c>
      <c r="I88" s="8" t="s">
        <v>392</v>
      </c>
      <c r="J88" s="8" t="s">
        <v>393</v>
      </c>
      <c r="K88" s="22">
        <v>5</v>
      </c>
      <c r="L88" s="27"/>
      <c r="M88" s="28"/>
      <c r="N88" s="28"/>
      <c r="O88" s="27"/>
    </row>
    <row r="89" ht="40.5" spans="1:15">
      <c r="A89" s="22">
        <v>88</v>
      </c>
      <c r="B89" s="22" t="s">
        <v>503</v>
      </c>
      <c r="C89" s="8" t="s">
        <v>231</v>
      </c>
      <c r="D89" s="8" t="s">
        <v>326</v>
      </c>
      <c r="E89" s="8" t="s">
        <v>396</v>
      </c>
      <c r="F89" s="8" t="s">
        <v>395</v>
      </c>
      <c r="G89" s="22">
        <v>5</v>
      </c>
      <c r="H89" s="22" t="s">
        <v>348</v>
      </c>
      <c r="I89" s="8" t="s">
        <v>396</v>
      </c>
      <c r="J89" s="8" t="s">
        <v>395</v>
      </c>
      <c r="K89" s="22">
        <v>5</v>
      </c>
      <c r="L89" s="27"/>
      <c r="M89" s="28"/>
      <c r="N89" s="28"/>
      <c r="O89" s="27"/>
    </row>
    <row r="90" ht="54" spans="1:15">
      <c r="A90" s="22">
        <v>89</v>
      </c>
      <c r="B90" s="22" t="s">
        <v>504</v>
      </c>
      <c r="C90" s="8" t="s">
        <v>243</v>
      </c>
      <c r="D90" s="8" t="s">
        <v>326</v>
      </c>
      <c r="E90" s="8" t="s">
        <v>505</v>
      </c>
      <c r="F90" s="8" t="s">
        <v>347</v>
      </c>
      <c r="G90" s="22">
        <v>5</v>
      </c>
      <c r="H90" s="22" t="s">
        <v>361</v>
      </c>
      <c r="I90" s="8" t="s">
        <v>400</v>
      </c>
      <c r="J90" s="8" t="s">
        <v>401</v>
      </c>
      <c r="K90" s="22">
        <v>5</v>
      </c>
      <c r="L90" s="27"/>
      <c r="M90" s="28"/>
      <c r="N90" s="28"/>
      <c r="O90" s="27"/>
    </row>
    <row r="91" ht="27" spans="1:15">
      <c r="A91" s="22">
        <v>90</v>
      </c>
      <c r="B91" s="22" t="s">
        <v>504</v>
      </c>
      <c r="C91" s="8" t="s">
        <v>243</v>
      </c>
      <c r="D91" s="8" t="s">
        <v>326</v>
      </c>
      <c r="E91" s="8" t="s">
        <v>506</v>
      </c>
      <c r="F91" s="8" t="s">
        <v>453</v>
      </c>
      <c r="G91" s="22">
        <v>5</v>
      </c>
      <c r="H91" s="22" t="s">
        <v>361</v>
      </c>
      <c r="I91" s="8" t="s">
        <v>404</v>
      </c>
      <c r="J91" s="8" t="s">
        <v>405</v>
      </c>
      <c r="K91" s="22">
        <v>5</v>
      </c>
      <c r="L91" s="27"/>
      <c r="M91" s="28"/>
      <c r="N91" s="28"/>
      <c r="O91" s="27"/>
    </row>
    <row r="92" ht="27" spans="1:15">
      <c r="A92" s="22">
        <v>91</v>
      </c>
      <c r="B92" s="22" t="s">
        <v>507</v>
      </c>
      <c r="C92" s="8" t="s">
        <v>249</v>
      </c>
      <c r="D92" s="8" t="s">
        <v>326</v>
      </c>
      <c r="E92" s="8" t="s">
        <v>407</v>
      </c>
      <c r="F92" s="8" t="s">
        <v>408</v>
      </c>
      <c r="G92" s="22">
        <v>5</v>
      </c>
      <c r="H92" s="22" t="s">
        <v>361</v>
      </c>
      <c r="I92" s="8" t="s">
        <v>409</v>
      </c>
      <c r="J92" s="8" t="s">
        <v>410</v>
      </c>
      <c r="K92" s="22">
        <v>5</v>
      </c>
      <c r="L92" s="27"/>
      <c r="M92" s="28"/>
      <c r="N92" s="28"/>
      <c r="O92" s="27"/>
    </row>
    <row r="93" ht="27" spans="1:15">
      <c r="A93" s="22">
        <v>92</v>
      </c>
      <c r="B93" s="22" t="s">
        <v>507</v>
      </c>
      <c r="C93" s="8" t="s">
        <v>249</v>
      </c>
      <c r="D93" s="8" t="s">
        <v>326</v>
      </c>
      <c r="E93" s="8" t="s">
        <v>411</v>
      </c>
      <c r="F93" s="8" t="s">
        <v>412</v>
      </c>
      <c r="G93" s="22">
        <v>5</v>
      </c>
      <c r="H93" s="22" t="s">
        <v>361</v>
      </c>
      <c r="I93" s="8" t="s">
        <v>413</v>
      </c>
      <c r="J93" s="8" t="s">
        <v>414</v>
      </c>
      <c r="K93" s="22">
        <v>5</v>
      </c>
      <c r="L93" s="27"/>
      <c r="M93" s="28"/>
      <c r="N93" s="28"/>
      <c r="O93" s="27"/>
    </row>
    <row r="94" ht="40.5" spans="1:15">
      <c r="A94" s="22">
        <v>93</v>
      </c>
      <c r="B94" s="22" t="s">
        <v>508</v>
      </c>
      <c r="C94" s="8" t="s">
        <v>268</v>
      </c>
      <c r="D94" s="8" t="s">
        <v>361</v>
      </c>
      <c r="E94" s="8" t="s">
        <v>459</v>
      </c>
      <c r="F94" s="8" t="s">
        <v>460</v>
      </c>
      <c r="G94" s="22">
        <v>5</v>
      </c>
      <c r="H94" s="22" t="s">
        <v>348</v>
      </c>
      <c r="I94" s="8" t="s">
        <v>461</v>
      </c>
      <c r="J94" s="8" t="s">
        <v>462</v>
      </c>
      <c r="K94" s="22">
        <v>5</v>
      </c>
      <c r="L94" s="27"/>
      <c r="M94" s="28"/>
      <c r="N94" s="28"/>
      <c r="O94" s="27"/>
    </row>
    <row r="95" ht="40.5" spans="1:15">
      <c r="A95" s="22">
        <v>94</v>
      </c>
      <c r="B95" s="22" t="s">
        <v>508</v>
      </c>
      <c r="C95" s="8" t="s">
        <v>268</v>
      </c>
      <c r="D95" s="8" t="s">
        <v>361</v>
      </c>
      <c r="E95" s="8" t="s">
        <v>463</v>
      </c>
      <c r="F95" s="8" t="s">
        <v>464</v>
      </c>
      <c r="G95" s="22">
        <v>5</v>
      </c>
      <c r="H95" s="22" t="s">
        <v>348</v>
      </c>
      <c r="I95" s="8" t="s">
        <v>465</v>
      </c>
      <c r="J95" s="8" t="s">
        <v>466</v>
      </c>
      <c r="K95" s="22">
        <v>5</v>
      </c>
      <c r="L95" s="27"/>
      <c r="M95" s="28"/>
      <c r="N95" s="28"/>
      <c r="O95" s="27"/>
    </row>
    <row r="96" ht="40.5" spans="1:15">
      <c r="A96" s="22">
        <v>95</v>
      </c>
      <c r="B96" s="22" t="s">
        <v>509</v>
      </c>
      <c r="C96" s="8" t="s">
        <v>243</v>
      </c>
      <c r="D96" s="8" t="s">
        <v>326</v>
      </c>
      <c r="E96" s="8" t="s">
        <v>398</v>
      </c>
      <c r="F96" s="8" t="s">
        <v>399</v>
      </c>
      <c r="G96" s="22">
        <v>5</v>
      </c>
      <c r="H96" s="22" t="s">
        <v>361</v>
      </c>
      <c r="I96" s="8" t="s">
        <v>400</v>
      </c>
      <c r="J96" s="8" t="s">
        <v>401</v>
      </c>
      <c r="K96" s="22">
        <v>5</v>
      </c>
      <c r="L96" s="27"/>
      <c r="M96" s="28"/>
      <c r="N96" s="28"/>
      <c r="O96" s="27"/>
    </row>
    <row r="97" ht="54" spans="1:15">
      <c r="A97" s="22">
        <v>96</v>
      </c>
      <c r="B97" s="22" t="s">
        <v>509</v>
      </c>
      <c r="C97" s="8" t="s">
        <v>243</v>
      </c>
      <c r="D97" s="8" t="s">
        <v>326</v>
      </c>
      <c r="E97" s="8" t="s">
        <v>402</v>
      </c>
      <c r="F97" s="8" t="s">
        <v>403</v>
      </c>
      <c r="G97" s="22">
        <v>5</v>
      </c>
      <c r="H97" s="22" t="s">
        <v>361</v>
      </c>
      <c r="I97" s="8" t="s">
        <v>404</v>
      </c>
      <c r="J97" s="8" t="s">
        <v>405</v>
      </c>
      <c r="K97" s="22">
        <v>5</v>
      </c>
      <c r="L97" s="27"/>
      <c r="M97" s="28"/>
      <c r="N97" s="28"/>
      <c r="O97" s="27"/>
    </row>
    <row r="98" ht="27" spans="1:15">
      <c r="A98" s="22">
        <v>97</v>
      </c>
      <c r="B98" s="22" t="s">
        <v>510</v>
      </c>
      <c r="C98" s="8" t="s">
        <v>300</v>
      </c>
      <c r="D98" s="8" t="s">
        <v>326</v>
      </c>
      <c r="E98" s="8" t="s">
        <v>511</v>
      </c>
      <c r="F98" s="8" t="s">
        <v>512</v>
      </c>
      <c r="G98" s="22">
        <v>5</v>
      </c>
      <c r="H98" s="22"/>
      <c r="I98" s="8"/>
      <c r="J98" s="8"/>
      <c r="K98" s="22"/>
      <c r="L98" s="27"/>
      <c r="M98" s="28"/>
      <c r="N98" s="28"/>
      <c r="O98" s="27"/>
    </row>
    <row r="99" ht="27" spans="1:15">
      <c r="A99" s="22">
        <v>98</v>
      </c>
      <c r="B99" s="22" t="s">
        <v>510</v>
      </c>
      <c r="C99" s="8" t="s">
        <v>300</v>
      </c>
      <c r="D99" s="8" t="s">
        <v>326</v>
      </c>
      <c r="E99" s="8" t="s">
        <v>513</v>
      </c>
      <c r="F99" s="8" t="s">
        <v>514</v>
      </c>
      <c r="G99" s="22">
        <v>5</v>
      </c>
      <c r="H99" s="22"/>
      <c r="I99" s="8"/>
      <c r="J99" s="8"/>
      <c r="K99" s="22"/>
      <c r="L99" s="27"/>
      <c r="M99" s="28"/>
      <c r="N99" s="28"/>
      <c r="O99" s="27"/>
    </row>
    <row r="100" ht="27" spans="1:15">
      <c r="A100" s="22">
        <v>99</v>
      </c>
      <c r="B100" s="22" t="s">
        <v>515</v>
      </c>
      <c r="C100" s="8" t="s">
        <v>302</v>
      </c>
      <c r="D100" s="8" t="s">
        <v>326</v>
      </c>
      <c r="E100" s="8" t="s">
        <v>516</v>
      </c>
      <c r="F100" s="8" t="s">
        <v>517</v>
      </c>
      <c r="G100" s="22">
        <v>5</v>
      </c>
      <c r="H100" s="22"/>
      <c r="I100" s="8"/>
      <c r="J100" s="8"/>
      <c r="K100" s="22"/>
      <c r="L100" s="27"/>
      <c r="M100" s="28"/>
      <c r="N100" s="28"/>
      <c r="O100" s="27"/>
    </row>
    <row r="101" ht="40.5" spans="1:15">
      <c r="A101" s="22">
        <v>100</v>
      </c>
      <c r="B101" s="22" t="s">
        <v>515</v>
      </c>
      <c r="C101" s="8" t="s">
        <v>302</v>
      </c>
      <c r="D101" s="8" t="s">
        <v>326</v>
      </c>
      <c r="E101" s="8" t="s">
        <v>518</v>
      </c>
      <c r="F101" s="8" t="s">
        <v>519</v>
      </c>
      <c r="G101" s="22">
        <v>5</v>
      </c>
      <c r="H101" s="22"/>
      <c r="I101" s="8"/>
      <c r="J101" s="8"/>
      <c r="K101" s="22"/>
      <c r="L101" s="27"/>
      <c r="M101" s="28"/>
      <c r="N101" s="28"/>
      <c r="O101" s="27"/>
    </row>
    <row r="102" ht="40.5" spans="1:15">
      <c r="A102" s="22">
        <v>101</v>
      </c>
      <c r="B102" s="22" t="s">
        <v>520</v>
      </c>
      <c r="C102" s="8" t="s">
        <v>303</v>
      </c>
      <c r="D102" s="8" t="s">
        <v>326</v>
      </c>
      <c r="E102" s="10" t="s">
        <v>521</v>
      </c>
      <c r="F102" s="10" t="s">
        <v>522</v>
      </c>
      <c r="G102" s="22">
        <v>5</v>
      </c>
      <c r="H102" s="22"/>
      <c r="I102" s="10"/>
      <c r="J102" s="10"/>
      <c r="K102" s="22"/>
      <c r="L102" s="27"/>
      <c r="M102" s="29"/>
      <c r="N102" s="29"/>
      <c r="O102" s="27"/>
    </row>
    <row r="103" ht="40.5" spans="1:15">
      <c r="A103" s="22">
        <v>102</v>
      </c>
      <c r="B103" s="22" t="s">
        <v>520</v>
      </c>
      <c r="C103" s="8" t="s">
        <v>303</v>
      </c>
      <c r="D103" s="8" t="s">
        <v>326</v>
      </c>
      <c r="E103" s="8" t="s">
        <v>523</v>
      </c>
      <c r="F103" s="8" t="s">
        <v>524</v>
      </c>
      <c r="G103" s="22">
        <v>5</v>
      </c>
      <c r="H103" s="22"/>
      <c r="I103" s="8"/>
      <c r="J103" s="8"/>
      <c r="K103" s="22"/>
      <c r="L103" s="27"/>
      <c r="M103" s="28"/>
      <c r="N103" s="28"/>
      <c r="O103" s="27"/>
    </row>
    <row r="104" ht="27" spans="1:15">
      <c r="A104" s="22">
        <v>103</v>
      </c>
      <c r="B104" s="22" t="s">
        <v>525</v>
      </c>
      <c r="C104" s="8" t="s">
        <v>305</v>
      </c>
      <c r="D104" s="8" t="s">
        <v>326</v>
      </c>
      <c r="E104" s="8" t="s">
        <v>526</v>
      </c>
      <c r="F104" s="8" t="s">
        <v>527</v>
      </c>
      <c r="G104" s="22">
        <v>5</v>
      </c>
      <c r="H104" s="22"/>
      <c r="I104" s="8"/>
      <c r="J104" s="8"/>
      <c r="K104" s="22"/>
      <c r="L104" s="27"/>
      <c r="M104" s="28"/>
      <c r="N104" s="28"/>
      <c r="O104" s="27"/>
    </row>
    <row r="105" ht="40.5" spans="1:15">
      <c r="A105" s="22">
        <v>104</v>
      </c>
      <c r="B105" s="22" t="s">
        <v>525</v>
      </c>
      <c r="C105" s="8" t="s">
        <v>305</v>
      </c>
      <c r="D105" s="8" t="s">
        <v>326</v>
      </c>
      <c r="E105" s="8" t="s">
        <v>528</v>
      </c>
      <c r="F105" s="8" t="s">
        <v>529</v>
      </c>
      <c r="G105" s="22">
        <v>5</v>
      </c>
      <c r="H105" s="22"/>
      <c r="I105" s="8"/>
      <c r="J105" s="8"/>
      <c r="K105" s="22"/>
      <c r="L105" s="27"/>
      <c r="M105" s="28"/>
      <c r="N105" s="28"/>
      <c r="O105" s="27"/>
    </row>
    <row r="106" ht="40.5" spans="1:15">
      <c r="A106" s="22">
        <v>105</v>
      </c>
      <c r="B106" s="22" t="s">
        <v>530</v>
      </c>
      <c r="C106" s="8" t="s">
        <v>306</v>
      </c>
      <c r="D106" s="8" t="s">
        <v>326</v>
      </c>
      <c r="E106" s="8" t="s">
        <v>531</v>
      </c>
      <c r="F106" s="8" t="s">
        <v>532</v>
      </c>
      <c r="G106" s="22">
        <v>5</v>
      </c>
      <c r="H106" s="22"/>
      <c r="I106" s="8"/>
      <c r="J106" s="8"/>
      <c r="K106" s="22"/>
      <c r="L106" s="27"/>
      <c r="M106" s="28"/>
      <c r="N106" s="28"/>
      <c r="O106" s="27"/>
    </row>
    <row r="107" ht="27" spans="1:15">
      <c r="A107" s="22">
        <v>106</v>
      </c>
      <c r="B107" s="22" t="s">
        <v>530</v>
      </c>
      <c r="C107" s="8" t="s">
        <v>306</v>
      </c>
      <c r="D107" s="8" t="s">
        <v>326</v>
      </c>
      <c r="E107" s="8" t="s">
        <v>533</v>
      </c>
      <c r="F107" s="8" t="s">
        <v>534</v>
      </c>
      <c r="G107" s="22">
        <v>5</v>
      </c>
      <c r="H107" s="22"/>
      <c r="I107" s="8"/>
      <c r="J107" s="8"/>
      <c r="K107" s="22"/>
      <c r="L107" s="27"/>
      <c r="M107" s="28"/>
      <c r="N107" s="28"/>
      <c r="O107" s="27"/>
    </row>
    <row r="108" ht="40.5" spans="1:15">
      <c r="A108" s="22">
        <v>107</v>
      </c>
      <c r="B108" s="22" t="s">
        <v>535</v>
      </c>
      <c r="C108" s="8" t="s">
        <v>307</v>
      </c>
      <c r="D108" s="8" t="s">
        <v>326</v>
      </c>
      <c r="E108" s="8" t="s">
        <v>536</v>
      </c>
      <c r="F108" s="8" t="s">
        <v>522</v>
      </c>
      <c r="G108" s="22">
        <v>5</v>
      </c>
      <c r="H108" s="22"/>
      <c r="I108" s="8"/>
      <c r="J108" s="8"/>
      <c r="K108" s="22"/>
      <c r="L108" s="27"/>
      <c r="M108" s="28"/>
      <c r="N108" s="28"/>
      <c r="O108" s="27"/>
    </row>
    <row r="109" ht="40.5" spans="1:15">
      <c r="A109" s="22">
        <v>108</v>
      </c>
      <c r="B109" s="22" t="s">
        <v>535</v>
      </c>
      <c r="C109" s="8" t="s">
        <v>307</v>
      </c>
      <c r="D109" s="8" t="s">
        <v>326</v>
      </c>
      <c r="E109" s="8" t="s">
        <v>523</v>
      </c>
      <c r="F109" s="8" t="s">
        <v>524</v>
      </c>
      <c r="G109" s="22">
        <v>5</v>
      </c>
      <c r="H109" s="22"/>
      <c r="I109" s="8"/>
      <c r="J109" s="8"/>
      <c r="K109" s="22"/>
      <c r="L109" s="27"/>
      <c r="M109" s="28"/>
      <c r="N109" s="28"/>
      <c r="O109" s="27"/>
    </row>
    <row r="110" ht="40.5" spans="1:15">
      <c r="A110" s="22">
        <v>109</v>
      </c>
      <c r="B110" s="22" t="s">
        <v>537</v>
      </c>
      <c r="C110" s="8" t="s">
        <v>243</v>
      </c>
      <c r="D110" s="8" t="s">
        <v>326</v>
      </c>
      <c r="E110" s="8" t="s">
        <v>398</v>
      </c>
      <c r="F110" s="8" t="s">
        <v>399</v>
      </c>
      <c r="G110" s="22">
        <v>5</v>
      </c>
      <c r="H110" s="22" t="s">
        <v>361</v>
      </c>
      <c r="I110" s="8" t="s">
        <v>400</v>
      </c>
      <c r="J110" s="8" t="s">
        <v>401</v>
      </c>
      <c r="K110" s="22">
        <v>5</v>
      </c>
      <c r="L110" s="27"/>
      <c r="M110" s="28"/>
      <c r="N110" s="28"/>
      <c r="O110" s="27"/>
    </row>
    <row r="111" ht="54" spans="1:15">
      <c r="A111" s="22">
        <v>110</v>
      </c>
      <c r="B111" s="22" t="s">
        <v>537</v>
      </c>
      <c r="C111" s="8" t="s">
        <v>243</v>
      </c>
      <c r="D111" s="8" t="s">
        <v>326</v>
      </c>
      <c r="E111" s="8" t="s">
        <v>402</v>
      </c>
      <c r="F111" s="8" t="s">
        <v>403</v>
      </c>
      <c r="G111" s="22">
        <v>5</v>
      </c>
      <c r="H111" s="22" t="s">
        <v>361</v>
      </c>
      <c r="I111" s="8" t="s">
        <v>404</v>
      </c>
      <c r="J111" s="8" t="s">
        <v>405</v>
      </c>
      <c r="K111" s="22">
        <v>5</v>
      </c>
      <c r="L111" s="27"/>
      <c r="M111" s="28"/>
      <c r="N111" s="28"/>
      <c r="O111" s="27"/>
    </row>
    <row r="112" ht="40.5" spans="1:15">
      <c r="A112" s="22">
        <v>111</v>
      </c>
      <c r="B112" s="22" t="s">
        <v>538</v>
      </c>
      <c r="C112" s="14" t="s">
        <v>264</v>
      </c>
      <c r="D112" s="8" t="s">
        <v>326</v>
      </c>
      <c r="E112" s="24" t="s">
        <v>444</v>
      </c>
      <c r="F112" s="24" t="s">
        <v>445</v>
      </c>
      <c r="G112" s="25">
        <v>5</v>
      </c>
      <c r="H112" s="22" t="s">
        <v>361</v>
      </c>
      <c r="I112" s="8" t="s">
        <v>446</v>
      </c>
      <c r="J112" s="8" t="s">
        <v>447</v>
      </c>
      <c r="K112" s="22">
        <v>5</v>
      </c>
      <c r="L112" s="27" t="s">
        <v>348</v>
      </c>
      <c r="M112" s="30" t="s">
        <v>448</v>
      </c>
      <c r="N112" s="30" t="s">
        <v>539</v>
      </c>
      <c r="O112" s="27">
        <v>5</v>
      </c>
    </row>
    <row r="113" ht="40.5" spans="1:15">
      <c r="A113" s="22">
        <v>112</v>
      </c>
      <c r="B113" s="22" t="s">
        <v>538</v>
      </c>
      <c r="C113" s="14" t="s">
        <v>264</v>
      </c>
      <c r="D113" s="8" t="s">
        <v>326</v>
      </c>
      <c r="E113" s="24" t="s">
        <v>450</v>
      </c>
      <c r="F113" s="24" t="s">
        <v>451</v>
      </c>
      <c r="G113" s="25">
        <v>5</v>
      </c>
      <c r="H113" s="22" t="s">
        <v>361</v>
      </c>
      <c r="I113" s="8" t="s">
        <v>452</v>
      </c>
      <c r="J113" s="8" t="s">
        <v>453</v>
      </c>
      <c r="K113" s="22">
        <v>5</v>
      </c>
      <c r="L113" s="27" t="s">
        <v>348</v>
      </c>
      <c r="M113" s="30" t="s">
        <v>540</v>
      </c>
      <c r="N113" s="30" t="s">
        <v>541</v>
      </c>
      <c r="O113" s="27">
        <v>5</v>
      </c>
    </row>
    <row r="114" ht="40.5" spans="1:15">
      <c r="A114" s="22">
        <v>113</v>
      </c>
      <c r="B114" s="22" t="s">
        <v>542</v>
      </c>
      <c r="C114" s="8" t="s">
        <v>231</v>
      </c>
      <c r="D114" s="8" t="s">
        <v>326</v>
      </c>
      <c r="E114" s="8" t="s">
        <v>392</v>
      </c>
      <c r="F114" s="8" t="s">
        <v>393</v>
      </c>
      <c r="G114" s="22">
        <v>5</v>
      </c>
      <c r="H114" s="22" t="s">
        <v>348</v>
      </c>
      <c r="I114" s="8" t="s">
        <v>392</v>
      </c>
      <c r="J114" s="8" t="s">
        <v>393</v>
      </c>
      <c r="K114" s="22">
        <v>5</v>
      </c>
      <c r="L114" s="27"/>
      <c r="M114" s="28"/>
      <c r="N114" s="28"/>
      <c r="O114" s="27"/>
    </row>
    <row r="115" ht="40.5" spans="1:15">
      <c r="A115" s="22">
        <v>114</v>
      </c>
      <c r="B115" s="22" t="s">
        <v>542</v>
      </c>
      <c r="C115" s="8" t="s">
        <v>231</v>
      </c>
      <c r="D115" s="8" t="s">
        <v>326</v>
      </c>
      <c r="E115" s="8" t="s">
        <v>396</v>
      </c>
      <c r="F115" s="8" t="s">
        <v>395</v>
      </c>
      <c r="G115" s="22">
        <v>5</v>
      </c>
      <c r="H115" s="22" t="s">
        <v>348</v>
      </c>
      <c r="I115" s="8" t="s">
        <v>396</v>
      </c>
      <c r="J115" s="8" t="s">
        <v>395</v>
      </c>
      <c r="K115" s="22">
        <v>5</v>
      </c>
      <c r="L115" s="27"/>
      <c r="M115" s="28"/>
      <c r="N115" s="28"/>
      <c r="O115" s="27"/>
    </row>
    <row r="116" ht="27" spans="1:15">
      <c r="A116" s="22">
        <v>115</v>
      </c>
      <c r="B116" s="22" t="s">
        <v>543</v>
      </c>
      <c r="C116" s="8" t="s">
        <v>251</v>
      </c>
      <c r="D116" s="8" t="s">
        <v>326</v>
      </c>
      <c r="E116" s="8" t="s">
        <v>416</v>
      </c>
      <c r="F116" s="8" t="s">
        <v>417</v>
      </c>
      <c r="G116" s="22">
        <v>5</v>
      </c>
      <c r="H116" s="22" t="s">
        <v>361</v>
      </c>
      <c r="I116" s="8" t="s">
        <v>416</v>
      </c>
      <c r="J116" s="8" t="s">
        <v>417</v>
      </c>
      <c r="K116" s="22">
        <v>5</v>
      </c>
      <c r="L116" s="27"/>
      <c r="M116" s="28"/>
      <c r="N116" s="28"/>
      <c r="O116" s="27"/>
    </row>
    <row r="117" ht="27" spans="1:15">
      <c r="A117" s="22">
        <v>116</v>
      </c>
      <c r="B117" s="22" t="s">
        <v>543</v>
      </c>
      <c r="C117" s="8" t="s">
        <v>251</v>
      </c>
      <c r="D117" s="8" t="s">
        <v>326</v>
      </c>
      <c r="E117" s="8" t="s">
        <v>418</v>
      </c>
      <c r="F117" s="8" t="s">
        <v>341</v>
      </c>
      <c r="G117" s="22">
        <v>5</v>
      </c>
      <c r="H117" s="22" t="s">
        <v>361</v>
      </c>
      <c r="I117" s="8" t="s">
        <v>418</v>
      </c>
      <c r="J117" s="8" t="s">
        <v>341</v>
      </c>
      <c r="K117" s="22">
        <v>5</v>
      </c>
      <c r="L117" s="27"/>
      <c r="M117" s="28"/>
      <c r="N117" s="28"/>
      <c r="O117" s="27"/>
    </row>
    <row r="118" ht="40.5" spans="1:15">
      <c r="A118" s="22">
        <v>117</v>
      </c>
      <c r="B118" s="22" t="s">
        <v>544</v>
      </c>
      <c r="C118" s="8" t="s">
        <v>310</v>
      </c>
      <c r="D118" s="8" t="s">
        <v>326</v>
      </c>
      <c r="E118" s="8" t="s">
        <v>545</v>
      </c>
      <c r="F118" s="8" t="s">
        <v>546</v>
      </c>
      <c r="G118" s="22">
        <v>5</v>
      </c>
      <c r="H118" s="22" t="s">
        <v>361</v>
      </c>
      <c r="I118" s="8" t="s">
        <v>545</v>
      </c>
      <c r="J118" s="8" t="s">
        <v>546</v>
      </c>
      <c r="K118" s="22">
        <v>5</v>
      </c>
      <c r="L118" s="27"/>
      <c r="M118" s="28"/>
      <c r="N118" s="28"/>
      <c r="O118" s="27"/>
    </row>
    <row r="119" ht="27" spans="1:15">
      <c r="A119" s="22">
        <v>118</v>
      </c>
      <c r="B119" s="22" t="s">
        <v>544</v>
      </c>
      <c r="C119" s="8" t="s">
        <v>310</v>
      </c>
      <c r="D119" s="8" t="s">
        <v>326</v>
      </c>
      <c r="E119" s="8" t="s">
        <v>547</v>
      </c>
      <c r="F119" s="8" t="s">
        <v>548</v>
      </c>
      <c r="G119" s="22">
        <v>5</v>
      </c>
      <c r="H119" s="22" t="s">
        <v>361</v>
      </c>
      <c r="I119" s="8" t="s">
        <v>547</v>
      </c>
      <c r="J119" s="8" t="s">
        <v>548</v>
      </c>
      <c r="K119" s="22">
        <v>5</v>
      </c>
      <c r="L119" s="27"/>
      <c r="M119" s="28"/>
      <c r="N119" s="28"/>
      <c r="O119" s="27"/>
    </row>
    <row r="120" ht="40.5" spans="1:15">
      <c r="A120" s="22">
        <v>119</v>
      </c>
      <c r="B120" s="22" t="s">
        <v>549</v>
      </c>
      <c r="C120" s="14" t="s">
        <v>264</v>
      </c>
      <c r="D120" s="8" t="s">
        <v>326</v>
      </c>
      <c r="E120" s="24" t="s">
        <v>444</v>
      </c>
      <c r="F120" s="24" t="s">
        <v>445</v>
      </c>
      <c r="G120" s="25">
        <v>5</v>
      </c>
      <c r="H120" s="22" t="s">
        <v>361</v>
      </c>
      <c r="I120" s="8" t="s">
        <v>446</v>
      </c>
      <c r="J120" s="8" t="s">
        <v>447</v>
      </c>
      <c r="K120" s="22">
        <v>5</v>
      </c>
      <c r="L120" s="27" t="s">
        <v>348</v>
      </c>
      <c r="M120" s="30" t="s">
        <v>448</v>
      </c>
      <c r="N120" s="30" t="s">
        <v>449</v>
      </c>
      <c r="O120" s="27">
        <v>5</v>
      </c>
    </row>
    <row r="121" ht="40.5" spans="1:15">
      <c r="A121" s="22">
        <v>120</v>
      </c>
      <c r="B121" s="22" t="s">
        <v>549</v>
      </c>
      <c r="C121" s="14" t="s">
        <v>264</v>
      </c>
      <c r="D121" s="8" t="s">
        <v>326</v>
      </c>
      <c r="E121" s="24" t="s">
        <v>450</v>
      </c>
      <c r="F121" s="24" t="s">
        <v>451</v>
      </c>
      <c r="G121" s="25">
        <v>5</v>
      </c>
      <c r="H121" s="22" t="s">
        <v>361</v>
      </c>
      <c r="I121" s="8" t="s">
        <v>452</v>
      </c>
      <c r="J121" s="8" t="s">
        <v>453</v>
      </c>
      <c r="K121" s="22">
        <v>5</v>
      </c>
      <c r="L121" s="27" t="s">
        <v>348</v>
      </c>
      <c r="M121" s="30" t="s">
        <v>454</v>
      </c>
      <c r="N121" s="30" t="s">
        <v>455</v>
      </c>
      <c r="O121" s="27">
        <v>5</v>
      </c>
    </row>
    <row r="122" ht="40.5" spans="1:15">
      <c r="A122" s="22">
        <v>121</v>
      </c>
      <c r="B122" s="22" t="s">
        <v>550</v>
      </c>
      <c r="C122" s="14" t="s">
        <v>264</v>
      </c>
      <c r="D122" s="8" t="s">
        <v>326</v>
      </c>
      <c r="E122" s="24" t="s">
        <v>444</v>
      </c>
      <c r="F122" s="24" t="s">
        <v>445</v>
      </c>
      <c r="G122" s="25">
        <v>5</v>
      </c>
      <c r="H122" s="22" t="s">
        <v>361</v>
      </c>
      <c r="I122" s="8" t="s">
        <v>446</v>
      </c>
      <c r="J122" s="8" t="s">
        <v>447</v>
      </c>
      <c r="K122" s="22">
        <v>5</v>
      </c>
      <c r="L122" s="27" t="s">
        <v>348</v>
      </c>
      <c r="M122" s="28" t="s">
        <v>448</v>
      </c>
      <c r="N122" s="28" t="s">
        <v>449</v>
      </c>
      <c r="O122" s="27">
        <v>5</v>
      </c>
    </row>
    <row r="123" ht="40.5" spans="1:15">
      <c r="A123" s="22">
        <v>122</v>
      </c>
      <c r="B123" s="22" t="s">
        <v>550</v>
      </c>
      <c r="C123" s="14" t="s">
        <v>264</v>
      </c>
      <c r="D123" s="8" t="s">
        <v>326</v>
      </c>
      <c r="E123" s="24" t="s">
        <v>450</v>
      </c>
      <c r="F123" s="24" t="s">
        <v>451</v>
      </c>
      <c r="G123" s="25">
        <v>5</v>
      </c>
      <c r="H123" s="22" t="s">
        <v>361</v>
      </c>
      <c r="I123" s="8" t="s">
        <v>452</v>
      </c>
      <c r="J123" s="8" t="s">
        <v>453</v>
      </c>
      <c r="K123" s="22">
        <v>5</v>
      </c>
      <c r="L123" s="27" t="s">
        <v>348</v>
      </c>
      <c r="M123" s="28" t="s">
        <v>454</v>
      </c>
      <c r="N123" s="28" t="s">
        <v>455</v>
      </c>
      <c r="O123" s="27">
        <v>5</v>
      </c>
    </row>
    <row r="124" ht="40.5" spans="1:15">
      <c r="A124" s="22">
        <v>123</v>
      </c>
      <c r="B124" s="22" t="s">
        <v>551</v>
      </c>
      <c r="C124" s="8" t="s">
        <v>243</v>
      </c>
      <c r="D124" s="8" t="s">
        <v>326</v>
      </c>
      <c r="E124" s="8" t="s">
        <v>398</v>
      </c>
      <c r="F124" s="8" t="s">
        <v>399</v>
      </c>
      <c r="G124" s="22">
        <v>5</v>
      </c>
      <c r="H124" s="22" t="s">
        <v>361</v>
      </c>
      <c r="I124" s="8" t="s">
        <v>400</v>
      </c>
      <c r="J124" s="8" t="s">
        <v>401</v>
      </c>
      <c r="K124" s="22">
        <v>5</v>
      </c>
      <c r="L124" s="27"/>
      <c r="M124" s="28"/>
      <c r="N124" s="28"/>
      <c r="O124" s="27"/>
    </row>
    <row r="125" ht="54" spans="1:15">
      <c r="A125" s="22">
        <v>124</v>
      </c>
      <c r="B125" s="22" t="s">
        <v>551</v>
      </c>
      <c r="C125" s="8" t="s">
        <v>243</v>
      </c>
      <c r="D125" s="8" t="s">
        <v>326</v>
      </c>
      <c r="E125" s="8" t="s">
        <v>402</v>
      </c>
      <c r="F125" s="8" t="s">
        <v>403</v>
      </c>
      <c r="G125" s="22">
        <v>5</v>
      </c>
      <c r="H125" s="22" t="s">
        <v>361</v>
      </c>
      <c r="I125" s="8" t="s">
        <v>404</v>
      </c>
      <c r="J125" s="8" t="s">
        <v>405</v>
      </c>
      <c r="K125" s="22">
        <v>5</v>
      </c>
      <c r="L125" s="27"/>
      <c r="M125" s="28"/>
      <c r="N125" s="28"/>
      <c r="O125" s="27"/>
    </row>
    <row r="126" ht="27" spans="1:15">
      <c r="A126" s="22">
        <v>125</v>
      </c>
      <c r="B126" s="22" t="s">
        <v>552</v>
      </c>
      <c r="C126" s="8" t="s">
        <v>279</v>
      </c>
      <c r="D126" s="8" t="s">
        <v>361</v>
      </c>
      <c r="E126" s="8" t="s">
        <v>471</v>
      </c>
      <c r="F126" s="8" t="s">
        <v>472</v>
      </c>
      <c r="G126" s="22">
        <v>5</v>
      </c>
      <c r="H126" s="22" t="s">
        <v>348</v>
      </c>
      <c r="I126" s="8" t="s">
        <v>473</v>
      </c>
      <c r="J126" s="8" t="s">
        <v>472</v>
      </c>
      <c r="K126" s="22">
        <v>5</v>
      </c>
      <c r="L126" s="27"/>
      <c r="M126" s="28"/>
      <c r="N126" s="28"/>
      <c r="O126" s="27"/>
    </row>
    <row r="127" ht="27" spans="1:15">
      <c r="A127" s="22">
        <v>126</v>
      </c>
      <c r="B127" s="22" t="s">
        <v>552</v>
      </c>
      <c r="C127" s="8" t="s">
        <v>279</v>
      </c>
      <c r="D127" s="8" t="s">
        <v>361</v>
      </c>
      <c r="E127" s="8" t="s">
        <v>474</v>
      </c>
      <c r="F127" s="8" t="s">
        <v>483</v>
      </c>
      <c r="G127" s="22">
        <v>5</v>
      </c>
      <c r="H127" s="22" t="s">
        <v>348</v>
      </c>
      <c r="I127" s="8" t="s">
        <v>474</v>
      </c>
      <c r="J127" s="8" t="s">
        <v>475</v>
      </c>
      <c r="K127" s="22">
        <v>5</v>
      </c>
      <c r="L127" s="27"/>
      <c r="M127" s="28"/>
      <c r="N127" s="28"/>
      <c r="O127" s="27"/>
    </row>
    <row r="128" ht="27" spans="1:15">
      <c r="A128" s="22">
        <v>127</v>
      </c>
      <c r="B128" s="22" t="s">
        <v>553</v>
      </c>
      <c r="C128" s="8" t="s">
        <v>312</v>
      </c>
      <c r="D128" s="8" t="s">
        <v>326</v>
      </c>
      <c r="E128" s="8" t="s">
        <v>554</v>
      </c>
      <c r="F128" s="8" t="s">
        <v>555</v>
      </c>
      <c r="G128" s="22">
        <v>5</v>
      </c>
      <c r="H128" s="22" t="s">
        <v>361</v>
      </c>
      <c r="I128" s="8" t="s">
        <v>556</v>
      </c>
      <c r="J128" s="8" t="s">
        <v>557</v>
      </c>
      <c r="K128" s="22">
        <v>5</v>
      </c>
      <c r="L128" s="27" t="s">
        <v>348</v>
      </c>
      <c r="M128" s="28" t="s">
        <v>556</v>
      </c>
      <c r="N128" s="28" t="s">
        <v>557</v>
      </c>
      <c r="O128" s="27">
        <v>5</v>
      </c>
    </row>
    <row r="129" ht="27" spans="1:15">
      <c r="A129" s="22">
        <v>128</v>
      </c>
      <c r="B129" s="22" t="s">
        <v>553</v>
      </c>
      <c r="C129" s="8" t="s">
        <v>312</v>
      </c>
      <c r="D129" s="8" t="s">
        <v>326</v>
      </c>
      <c r="E129" s="8" t="s">
        <v>558</v>
      </c>
      <c r="F129" s="8" t="s">
        <v>559</v>
      </c>
      <c r="G129" s="22">
        <v>5</v>
      </c>
      <c r="H129" s="22" t="s">
        <v>361</v>
      </c>
      <c r="I129" s="8" t="s">
        <v>560</v>
      </c>
      <c r="J129" s="8" t="s">
        <v>561</v>
      </c>
      <c r="K129" s="22">
        <v>5</v>
      </c>
      <c r="L129" s="27" t="s">
        <v>348</v>
      </c>
      <c r="M129" s="28" t="s">
        <v>560</v>
      </c>
      <c r="N129" s="28" t="s">
        <v>561</v>
      </c>
      <c r="O129" s="27">
        <v>5</v>
      </c>
    </row>
    <row r="130" ht="40.5" spans="1:15">
      <c r="A130" s="22">
        <v>129</v>
      </c>
      <c r="B130" s="22" t="s">
        <v>562</v>
      </c>
      <c r="C130" s="8" t="s">
        <v>231</v>
      </c>
      <c r="D130" s="8" t="s">
        <v>326</v>
      </c>
      <c r="E130" s="8" t="s">
        <v>392</v>
      </c>
      <c r="F130" s="8" t="s">
        <v>393</v>
      </c>
      <c r="G130" s="22">
        <v>5</v>
      </c>
      <c r="H130" s="22" t="s">
        <v>348</v>
      </c>
      <c r="I130" s="8" t="s">
        <v>392</v>
      </c>
      <c r="J130" s="8" t="s">
        <v>393</v>
      </c>
      <c r="K130" s="22">
        <v>5</v>
      </c>
      <c r="L130" s="27"/>
      <c r="M130" s="28"/>
      <c r="N130" s="28"/>
      <c r="O130" s="27"/>
    </row>
    <row r="131" ht="40.5" spans="1:15">
      <c r="A131" s="22">
        <v>130</v>
      </c>
      <c r="B131" s="22" t="s">
        <v>562</v>
      </c>
      <c r="C131" s="8" t="s">
        <v>231</v>
      </c>
      <c r="D131" s="8" t="s">
        <v>326</v>
      </c>
      <c r="E131" s="8" t="s">
        <v>396</v>
      </c>
      <c r="F131" s="8" t="s">
        <v>395</v>
      </c>
      <c r="G131" s="22">
        <v>5</v>
      </c>
      <c r="H131" s="22" t="s">
        <v>348</v>
      </c>
      <c r="I131" s="8" t="s">
        <v>396</v>
      </c>
      <c r="J131" s="8" t="s">
        <v>395</v>
      </c>
      <c r="K131" s="22">
        <v>5</v>
      </c>
      <c r="L131" s="27"/>
      <c r="M131" s="28"/>
      <c r="N131" s="28"/>
      <c r="O131" s="27"/>
    </row>
    <row r="132" ht="27" spans="1:15">
      <c r="A132" s="22">
        <v>131</v>
      </c>
      <c r="B132" s="22" t="s">
        <v>563</v>
      </c>
      <c r="C132" s="8" t="s">
        <v>249</v>
      </c>
      <c r="D132" s="8" t="s">
        <v>326</v>
      </c>
      <c r="E132" s="8" t="s">
        <v>407</v>
      </c>
      <c r="F132" s="8" t="s">
        <v>408</v>
      </c>
      <c r="G132" s="22">
        <v>5</v>
      </c>
      <c r="H132" s="22" t="s">
        <v>361</v>
      </c>
      <c r="I132" s="8" t="s">
        <v>409</v>
      </c>
      <c r="J132" s="8" t="s">
        <v>410</v>
      </c>
      <c r="K132" s="22">
        <v>5</v>
      </c>
      <c r="L132" s="27"/>
      <c r="M132" s="28"/>
      <c r="N132" s="28"/>
      <c r="O132" s="27"/>
    </row>
    <row r="133" ht="27" spans="1:15">
      <c r="A133" s="22">
        <v>132</v>
      </c>
      <c r="B133" s="22" t="s">
        <v>563</v>
      </c>
      <c r="C133" s="8" t="s">
        <v>249</v>
      </c>
      <c r="D133" s="8" t="s">
        <v>326</v>
      </c>
      <c r="E133" s="8" t="s">
        <v>411</v>
      </c>
      <c r="F133" s="8" t="s">
        <v>412</v>
      </c>
      <c r="G133" s="22">
        <v>5</v>
      </c>
      <c r="H133" s="22" t="s">
        <v>361</v>
      </c>
      <c r="I133" s="8" t="s">
        <v>413</v>
      </c>
      <c r="J133" s="8" t="s">
        <v>414</v>
      </c>
      <c r="K133" s="22">
        <v>5</v>
      </c>
      <c r="L133" s="27"/>
      <c r="M133" s="28"/>
      <c r="N133" s="28"/>
      <c r="O133" s="27"/>
    </row>
    <row r="134" ht="27" spans="1:15">
      <c r="A134" s="22">
        <v>133</v>
      </c>
      <c r="B134" s="22" t="s">
        <v>564</v>
      </c>
      <c r="C134" s="8" t="s">
        <v>251</v>
      </c>
      <c r="D134" s="8" t="s">
        <v>326</v>
      </c>
      <c r="E134" s="8" t="s">
        <v>416</v>
      </c>
      <c r="F134" s="8" t="s">
        <v>417</v>
      </c>
      <c r="G134" s="22">
        <v>5</v>
      </c>
      <c r="H134" s="22" t="s">
        <v>361</v>
      </c>
      <c r="I134" s="8" t="s">
        <v>416</v>
      </c>
      <c r="J134" s="8" t="s">
        <v>417</v>
      </c>
      <c r="K134" s="22">
        <v>5</v>
      </c>
      <c r="L134" s="27"/>
      <c r="M134" s="28"/>
      <c r="N134" s="28"/>
      <c r="O134" s="27"/>
    </row>
    <row r="135" ht="27" spans="1:15">
      <c r="A135" s="22">
        <v>134</v>
      </c>
      <c r="B135" s="22" t="s">
        <v>564</v>
      </c>
      <c r="C135" s="8" t="s">
        <v>251</v>
      </c>
      <c r="D135" s="8" t="s">
        <v>326</v>
      </c>
      <c r="E135" s="8" t="s">
        <v>418</v>
      </c>
      <c r="F135" s="8" t="s">
        <v>341</v>
      </c>
      <c r="G135" s="22">
        <v>5</v>
      </c>
      <c r="H135" s="22" t="s">
        <v>361</v>
      </c>
      <c r="I135" s="8" t="s">
        <v>418</v>
      </c>
      <c r="J135" s="8" t="s">
        <v>341</v>
      </c>
      <c r="K135" s="22">
        <v>5</v>
      </c>
      <c r="L135" s="27"/>
      <c r="M135" s="28"/>
      <c r="N135" s="28"/>
      <c r="O135" s="27"/>
    </row>
    <row r="136" ht="27" spans="1:15">
      <c r="A136" s="22">
        <v>135</v>
      </c>
      <c r="B136" s="22" t="s">
        <v>565</v>
      </c>
      <c r="C136" s="8" t="s">
        <v>249</v>
      </c>
      <c r="D136" s="8" t="s">
        <v>326</v>
      </c>
      <c r="E136" s="8" t="s">
        <v>407</v>
      </c>
      <c r="F136" s="8" t="s">
        <v>408</v>
      </c>
      <c r="G136" s="22">
        <v>5</v>
      </c>
      <c r="H136" s="22" t="s">
        <v>361</v>
      </c>
      <c r="I136" s="8" t="s">
        <v>409</v>
      </c>
      <c r="J136" s="8" t="s">
        <v>410</v>
      </c>
      <c r="K136" s="22">
        <v>5</v>
      </c>
      <c r="L136" s="27"/>
      <c r="M136" s="28"/>
      <c r="N136" s="28"/>
      <c r="O136" s="27"/>
    </row>
    <row r="137" ht="27" spans="1:15">
      <c r="A137" s="22">
        <v>136</v>
      </c>
      <c r="B137" s="22" t="s">
        <v>565</v>
      </c>
      <c r="C137" s="8" t="s">
        <v>249</v>
      </c>
      <c r="D137" s="8" t="s">
        <v>326</v>
      </c>
      <c r="E137" s="8" t="s">
        <v>411</v>
      </c>
      <c r="F137" s="8" t="s">
        <v>412</v>
      </c>
      <c r="G137" s="22">
        <v>5</v>
      </c>
      <c r="H137" s="22" t="s">
        <v>361</v>
      </c>
      <c r="I137" s="8" t="s">
        <v>413</v>
      </c>
      <c r="J137" s="8" t="s">
        <v>414</v>
      </c>
      <c r="K137" s="22">
        <v>5</v>
      </c>
      <c r="L137" s="27"/>
      <c r="M137" s="28"/>
      <c r="N137" s="28"/>
      <c r="O137" s="27"/>
    </row>
    <row r="138" ht="27" spans="1:15">
      <c r="A138" s="22">
        <v>137</v>
      </c>
      <c r="B138" s="22" t="s">
        <v>566</v>
      </c>
      <c r="C138" s="8" t="s">
        <v>251</v>
      </c>
      <c r="D138" s="8" t="s">
        <v>326</v>
      </c>
      <c r="E138" s="8" t="s">
        <v>416</v>
      </c>
      <c r="F138" s="8" t="s">
        <v>417</v>
      </c>
      <c r="G138" s="22">
        <v>5</v>
      </c>
      <c r="H138" s="22" t="s">
        <v>361</v>
      </c>
      <c r="I138" s="8" t="s">
        <v>416</v>
      </c>
      <c r="J138" s="8" t="s">
        <v>417</v>
      </c>
      <c r="K138" s="22">
        <v>5</v>
      </c>
      <c r="L138" s="27"/>
      <c r="M138" s="28"/>
      <c r="N138" s="28"/>
      <c r="O138" s="27"/>
    </row>
    <row r="139" ht="27" spans="1:15">
      <c r="A139" s="22">
        <v>138</v>
      </c>
      <c r="B139" s="22" t="s">
        <v>566</v>
      </c>
      <c r="C139" s="8" t="s">
        <v>251</v>
      </c>
      <c r="D139" s="8" t="s">
        <v>326</v>
      </c>
      <c r="E139" s="8" t="s">
        <v>418</v>
      </c>
      <c r="F139" s="8" t="s">
        <v>341</v>
      </c>
      <c r="G139" s="22">
        <v>5</v>
      </c>
      <c r="H139" s="22" t="s">
        <v>361</v>
      </c>
      <c r="I139" s="8" t="s">
        <v>418</v>
      </c>
      <c r="J139" s="8" t="s">
        <v>341</v>
      </c>
      <c r="K139" s="22">
        <v>5</v>
      </c>
      <c r="L139" s="27"/>
      <c r="M139" s="28"/>
      <c r="N139" s="28"/>
      <c r="O139" s="27"/>
    </row>
    <row r="140" spans="1:15">
      <c r="A140" s="22">
        <v>139</v>
      </c>
      <c r="B140" s="22" t="s">
        <v>567</v>
      </c>
      <c r="C140" s="8" t="s">
        <v>257</v>
      </c>
      <c r="D140" s="8" t="s">
        <v>326</v>
      </c>
      <c r="E140" s="8" t="s">
        <v>428</v>
      </c>
      <c r="F140" s="8" t="s">
        <v>429</v>
      </c>
      <c r="G140" s="22">
        <v>5</v>
      </c>
      <c r="H140" s="22" t="s">
        <v>348</v>
      </c>
      <c r="I140" s="8" t="s">
        <v>430</v>
      </c>
      <c r="J140" s="8" t="s">
        <v>431</v>
      </c>
      <c r="K140" s="22">
        <v>5</v>
      </c>
      <c r="L140" s="27"/>
      <c r="M140" s="28"/>
      <c r="N140" s="28"/>
      <c r="O140" s="27"/>
    </row>
    <row r="141" ht="27" spans="1:15">
      <c r="A141" s="22">
        <v>140</v>
      </c>
      <c r="B141" s="22" t="s">
        <v>567</v>
      </c>
      <c r="C141" s="8" t="s">
        <v>257</v>
      </c>
      <c r="D141" s="8" t="s">
        <v>326</v>
      </c>
      <c r="E141" s="8" t="s">
        <v>425</v>
      </c>
      <c r="F141" s="8" t="s">
        <v>426</v>
      </c>
      <c r="G141" s="22">
        <v>5</v>
      </c>
      <c r="H141" s="22" t="s">
        <v>348</v>
      </c>
      <c r="I141" s="8" t="s">
        <v>432</v>
      </c>
      <c r="J141" s="8" t="s">
        <v>433</v>
      </c>
      <c r="K141" s="22">
        <v>5</v>
      </c>
      <c r="L141" s="27"/>
      <c r="M141" s="28"/>
      <c r="N141" s="28"/>
      <c r="O141" s="27"/>
    </row>
    <row r="142" ht="40.5" spans="1:15">
      <c r="A142" s="22">
        <v>141</v>
      </c>
      <c r="B142" s="22" t="s">
        <v>568</v>
      </c>
      <c r="C142" s="14" t="s">
        <v>264</v>
      </c>
      <c r="D142" s="8" t="s">
        <v>326</v>
      </c>
      <c r="E142" s="24" t="s">
        <v>444</v>
      </c>
      <c r="F142" s="24" t="s">
        <v>445</v>
      </c>
      <c r="G142" s="25">
        <v>5</v>
      </c>
      <c r="H142" s="22" t="s">
        <v>361</v>
      </c>
      <c r="I142" s="8" t="s">
        <v>446</v>
      </c>
      <c r="J142" s="8" t="s">
        <v>447</v>
      </c>
      <c r="K142" s="22">
        <v>5</v>
      </c>
      <c r="L142" s="27" t="s">
        <v>348</v>
      </c>
      <c r="M142" s="28" t="s">
        <v>448</v>
      </c>
      <c r="N142" s="28" t="s">
        <v>449</v>
      </c>
      <c r="O142" s="27">
        <v>5</v>
      </c>
    </row>
    <row r="143" ht="40.5" spans="1:15">
      <c r="A143" s="22">
        <v>142</v>
      </c>
      <c r="B143" s="22" t="s">
        <v>568</v>
      </c>
      <c r="C143" s="14" t="s">
        <v>264</v>
      </c>
      <c r="D143" s="8" t="s">
        <v>326</v>
      </c>
      <c r="E143" s="24" t="s">
        <v>450</v>
      </c>
      <c r="F143" s="24" t="s">
        <v>451</v>
      </c>
      <c r="G143" s="25">
        <v>5</v>
      </c>
      <c r="H143" s="22" t="s">
        <v>361</v>
      </c>
      <c r="I143" s="8" t="s">
        <v>452</v>
      </c>
      <c r="J143" s="8" t="s">
        <v>453</v>
      </c>
      <c r="K143" s="22">
        <v>5</v>
      </c>
      <c r="L143" s="27" t="s">
        <v>348</v>
      </c>
      <c r="M143" s="28" t="s">
        <v>454</v>
      </c>
      <c r="N143" s="28" t="s">
        <v>455</v>
      </c>
      <c r="O143" s="27">
        <v>5</v>
      </c>
    </row>
    <row r="144" ht="40.5" spans="1:15">
      <c r="A144" s="22">
        <v>143</v>
      </c>
      <c r="B144" s="22" t="s">
        <v>569</v>
      </c>
      <c r="C144" s="23" t="s">
        <v>255</v>
      </c>
      <c r="D144" s="8" t="s">
        <v>369</v>
      </c>
      <c r="E144" s="8" t="s">
        <v>420</v>
      </c>
      <c r="F144" s="8" t="s">
        <v>421</v>
      </c>
      <c r="G144" s="22">
        <v>5</v>
      </c>
      <c r="H144" s="22" t="s">
        <v>326</v>
      </c>
      <c r="I144" s="8" t="s">
        <v>422</v>
      </c>
      <c r="J144" s="8" t="s">
        <v>412</v>
      </c>
      <c r="K144" s="22">
        <v>5</v>
      </c>
      <c r="L144" s="27"/>
      <c r="M144" s="28"/>
      <c r="N144" s="28"/>
      <c r="O144" s="27"/>
    </row>
    <row r="145" ht="67.5" spans="1:15">
      <c r="A145" s="22">
        <v>144</v>
      </c>
      <c r="B145" s="22" t="s">
        <v>569</v>
      </c>
      <c r="C145" s="23" t="s">
        <v>255</v>
      </c>
      <c r="D145" s="8" t="s">
        <v>369</v>
      </c>
      <c r="E145" s="8" t="s">
        <v>423</v>
      </c>
      <c r="F145" s="8" t="s">
        <v>424</v>
      </c>
      <c r="G145" s="22">
        <v>5</v>
      </c>
      <c r="H145" s="22" t="s">
        <v>326</v>
      </c>
      <c r="I145" s="8" t="s">
        <v>425</v>
      </c>
      <c r="J145" s="8" t="s">
        <v>570</v>
      </c>
      <c r="K145" s="22">
        <v>5</v>
      </c>
      <c r="L145" s="27"/>
      <c r="M145" s="28"/>
      <c r="N145" s="28"/>
      <c r="O145" s="27"/>
    </row>
    <row r="146" ht="40.5" spans="1:15">
      <c r="A146" s="22">
        <v>145</v>
      </c>
      <c r="B146" s="22" t="s">
        <v>571</v>
      </c>
      <c r="C146" s="8" t="s">
        <v>268</v>
      </c>
      <c r="D146" s="8" t="s">
        <v>361</v>
      </c>
      <c r="E146" s="8" t="s">
        <v>459</v>
      </c>
      <c r="F146" s="8" t="s">
        <v>460</v>
      </c>
      <c r="G146" s="22">
        <v>5</v>
      </c>
      <c r="H146" s="22" t="s">
        <v>348</v>
      </c>
      <c r="I146" s="8" t="s">
        <v>461</v>
      </c>
      <c r="J146" s="8" t="s">
        <v>462</v>
      </c>
      <c r="K146" s="22">
        <v>5</v>
      </c>
      <c r="L146" s="27"/>
      <c r="M146" s="28"/>
      <c r="N146" s="28"/>
      <c r="O146" s="27"/>
    </row>
    <row r="147" ht="40.5" spans="1:15">
      <c r="A147" s="22">
        <v>146</v>
      </c>
      <c r="B147" s="22" t="s">
        <v>571</v>
      </c>
      <c r="C147" s="8" t="s">
        <v>268</v>
      </c>
      <c r="D147" s="8" t="s">
        <v>361</v>
      </c>
      <c r="E147" s="8" t="s">
        <v>463</v>
      </c>
      <c r="F147" s="8" t="s">
        <v>464</v>
      </c>
      <c r="G147" s="22">
        <v>5</v>
      </c>
      <c r="H147" s="22" t="s">
        <v>348</v>
      </c>
      <c r="I147" s="8" t="s">
        <v>465</v>
      </c>
      <c r="J147" s="8" t="s">
        <v>466</v>
      </c>
      <c r="K147" s="22">
        <v>5</v>
      </c>
      <c r="L147" s="27"/>
      <c r="M147" s="28"/>
      <c r="N147" s="28"/>
      <c r="O147" s="27"/>
    </row>
    <row r="148" ht="27" spans="1:15">
      <c r="A148" s="22">
        <v>147</v>
      </c>
      <c r="B148" s="22" t="s">
        <v>572</v>
      </c>
      <c r="C148" s="8" t="s">
        <v>279</v>
      </c>
      <c r="D148" s="8" t="s">
        <v>361</v>
      </c>
      <c r="E148" s="8" t="s">
        <v>471</v>
      </c>
      <c r="F148" s="8" t="s">
        <v>472</v>
      </c>
      <c r="G148" s="22">
        <v>5</v>
      </c>
      <c r="H148" s="22" t="s">
        <v>348</v>
      </c>
      <c r="I148" s="8" t="s">
        <v>473</v>
      </c>
      <c r="J148" s="8" t="s">
        <v>472</v>
      </c>
      <c r="K148" s="22">
        <v>5</v>
      </c>
      <c r="L148" s="27"/>
      <c r="M148" s="28"/>
      <c r="N148" s="28"/>
      <c r="O148" s="27"/>
    </row>
    <row r="149" ht="27" spans="1:15">
      <c r="A149" s="22">
        <v>148</v>
      </c>
      <c r="B149" s="22" t="s">
        <v>572</v>
      </c>
      <c r="C149" s="8" t="s">
        <v>279</v>
      </c>
      <c r="D149" s="8" t="s">
        <v>361</v>
      </c>
      <c r="E149" s="8" t="s">
        <v>474</v>
      </c>
      <c r="F149" s="8" t="s">
        <v>483</v>
      </c>
      <c r="G149" s="22">
        <v>5</v>
      </c>
      <c r="H149" s="22" t="s">
        <v>348</v>
      </c>
      <c r="I149" s="8" t="s">
        <v>474</v>
      </c>
      <c r="J149" s="8" t="s">
        <v>475</v>
      </c>
      <c r="K149" s="22">
        <v>5</v>
      </c>
      <c r="L149" s="27"/>
      <c r="M149" s="28"/>
      <c r="N149" s="28"/>
      <c r="O149" s="27"/>
    </row>
    <row r="150" ht="27" spans="1:15">
      <c r="A150" s="22">
        <v>149</v>
      </c>
      <c r="B150" s="22" t="s">
        <v>573</v>
      </c>
      <c r="C150" s="8" t="s">
        <v>312</v>
      </c>
      <c r="D150" s="8" t="s">
        <v>326</v>
      </c>
      <c r="E150" s="8" t="s">
        <v>554</v>
      </c>
      <c r="F150" s="8" t="s">
        <v>555</v>
      </c>
      <c r="G150" s="22">
        <v>5</v>
      </c>
      <c r="H150" s="22" t="s">
        <v>361</v>
      </c>
      <c r="I150" s="8" t="s">
        <v>556</v>
      </c>
      <c r="J150" s="8" t="s">
        <v>557</v>
      </c>
      <c r="K150" s="22">
        <v>5</v>
      </c>
      <c r="L150" s="27" t="s">
        <v>348</v>
      </c>
      <c r="M150" s="30" t="s">
        <v>574</v>
      </c>
      <c r="N150" s="30" t="s">
        <v>557</v>
      </c>
      <c r="O150" s="27">
        <v>5</v>
      </c>
    </row>
    <row r="151" ht="27" spans="1:15">
      <c r="A151" s="22">
        <v>150</v>
      </c>
      <c r="B151" s="22" t="s">
        <v>573</v>
      </c>
      <c r="C151" s="8" t="s">
        <v>312</v>
      </c>
      <c r="D151" s="8" t="s">
        <v>326</v>
      </c>
      <c r="E151" s="8" t="s">
        <v>558</v>
      </c>
      <c r="F151" s="8" t="s">
        <v>559</v>
      </c>
      <c r="G151" s="22">
        <v>5</v>
      </c>
      <c r="H151" s="22" t="s">
        <v>361</v>
      </c>
      <c r="I151" s="8" t="s">
        <v>560</v>
      </c>
      <c r="J151" s="8" t="s">
        <v>561</v>
      </c>
      <c r="K151" s="22">
        <v>5</v>
      </c>
      <c r="L151" s="27" t="s">
        <v>348</v>
      </c>
      <c r="M151" s="30" t="s">
        <v>560</v>
      </c>
      <c r="N151" s="30" t="s">
        <v>561</v>
      </c>
      <c r="O151" s="27">
        <v>5</v>
      </c>
    </row>
    <row r="152" ht="27" spans="1:15">
      <c r="A152" s="22">
        <v>151</v>
      </c>
      <c r="B152" s="22" t="s">
        <v>575</v>
      </c>
      <c r="C152" s="8" t="s">
        <v>316</v>
      </c>
      <c r="D152" s="8" t="s">
        <v>326</v>
      </c>
      <c r="E152" s="8" t="s">
        <v>576</v>
      </c>
      <c r="F152" s="8" t="s">
        <v>577</v>
      </c>
      <c r="G152" s="22">
        <v>5</v>
      </c>
      <c r="H152" s="22" t="s">
        <v>361</v>
      </c>
      <c r="I152" s="8" t="s">
        <v>576</v>
      </c>
      <c r="J152" s="8" t="s">
        <v>577</v>
      </c>
      <c r="K152" s="22">
        <v>5</v>
      </c>
      <c r="L152" s="27"/>
      <c r="M152" s="28"/>
      <c r="N152" s="28"/>
      <c r="O152" s="27"/>
    </row>
    <row r="153" ht="27" spans="1:15">
      <c r="A153" s="22">
        <v>152</v>
      </c>
      <c r="B153" s="22" t="s">
        <v>575</v>
      </c>
      <c r="C153" s="8" t="s">
        <v>316</v>
      </c>
      <c r="D153" s="8" t="s">
        <v>326</v>
      </c>
      <c r="E153" s="8" t="s">
        <v>578</v>
      </c>
      <c r="F153" s="8" t="s">
        <v>579</v>
      </c>
      <c r="G153" s="22">
        <v>5</v>
      </c>
      <c r="H153" s="22" t="s">
        <v>361</v>
      </c>
      <c r="I153" s="8" t="s">
        <v>578</v>
      </c>
      <c r="J153" s="8" t="s">
        <v>579</v>
      </c>
      <c r="K153" s="22">
        <v>5</v>
      </c>
      <c r="L153" s="27"/>
      <c r="M153" s="28"/>
      <c r="N153" s="28"/>
      <c r="O153" s="27"/>
    </row>
    <row r="154" ht="40.5" spans="1:15">
      <c r="A154" s="22">
        <v>153</v>
      </c>
      <c r="B154" s="22" t="s">
        <v>580</v>
      </c>
      <c r="C154" s="8" t="s">
        <v>243</v>
      </c>
      <c r="D154" s="8" t="s">
        <v>326</v>
      </c>
      <c r="E154" s="8" t="s">
        <v>398</v>
      </c>
      <c r="F154" s="8" t="s">
        <v>399</v>
      </c>
      <c r="G154" s="22">
        <v>5</v>
      </c>
      <c r="H154" s="22" t="s">
        <v>361</v>
      </c>
      <c r="I154" s="8" t="s">
        <v>400</v>
      </c>
      <c r="J154" s="8" t="s">
        <v>401</v>
      </c>
      <c r="K154" s="22">
        <v>5</v>
      </c>
      <c r="L154" s="27"/>
      <c r="M154" s="28"/>
      <c r="N154" s="28"/>
      <c r="O154" s="27"/>
    </row>
    <row r="155" ht="54" spans="1:15">
      <c r="A155" s="22">
        <v>154</v>
      </c>
      <c r="B155" s="22" t="s">
        <v>580</v>
      </c>
      <c r="C155" s="8" t="s">
        <v>243</v>
      </c>
      <c r="D155" s="8" t="s">
        <v>326</v>
      </c>
      <c r="E155" s="8" t="s">
        <v>402</v>
      </c>
      <c r="F155" s="8" t="s">
        <v>403</v>
      </c>
      <c r="G155" s="22">
        <v>5</v>
      </c>
      <c r="H155" s="22" t="s">
        <v>361</v>
      </c>
      <c r="I155" s="8" t="s">
        <v>404</v>
      </c>
      <c r="J155" s="8" t="s">
        <v>405</v>
      </c>
      <c r="K155" s="22">
        <v>5</v>
      </c>
      <c r="L155" s="27"/>
      <c r="M155" s="28"/>
      <c r="N155" s="28"/>
      <c r="O155" s="27"/>
    </row>
    <row r="156" ht="40.5" spans="1:15">
      <c r="A156" s="22">
        <v>155</v>
      </c>
      <c r="B156" s="22" t="s">
        <v>581</v>
      </c>
      <c r="C156" s="8" t="s">
        <v>268</v>
      </c>
      <c r="D156" s="8" t="s">
        <v>361</v>
      </c>
      <c r="E156" s="8" t="s">
        <v>459</v>
      </c>
      <c r="F156" s="8" t="s">
        <v>460</v>
      </c>
      <c r="G156" s="22">
        <v>5</v>
      </c>
      <c r="H156" s="22" t="s">
        <v>348</v>
      </c>
      <c r="I156" s="8" t="s">
        <v>461</v>
      </c>
      <c r="J156" s="8" t="s">
        <v>462</v>
      </c>
      <c r="K156" s="22">
        <v>5</v>
      </c>
      <c r="L156" s="27"/>
      <c r="M156" s="28"/>
      <c r="N156" s="28"/>
      <c r="O156" s="27"/>
    </row>
    <row r="157" ht="40.5" spans="1:15">
      <c r="A157" s="22">
        <v>156</v>
      </c>
      <c r="B157" s="22" t="s">
        <v>581</v>
      </c>
      <c r="C157" s="8" t="s">
        <v>268</v>
      </c>
      <c r="D157" s="8" t="s">
        <v>361</v>
      </c>
      <c r="E157" s="8" t="s">
        <v>463</v>
      </c>
      <c r="F157" s="8" t="s">
        <v>464</v>
      </c>
      <c r="G157" s="22">
        <v>5</v>
      </c>
      <c r="H157" s="22" t="s">
        <v>348</v>
      </c>
      <c r="I157" s="8" t="s">
        <v>465</v>
      </c>
      <c r="J157" s="8" t="s">
        <v>466</v>
      </c>
      <c r="K157" s="22">
        <v>5</v>
      </c>
      <c r="L157" s="27"/>
      <c r="M157" s="28"/>
      <c r="N157" s="28"/>
      <c r="O157" s="27"/>
    </row>
    <row r="158" ht="40.5" spans="1:15">
      <c r="A158" s="22">
        <v>157</v>
      </c>
      <c r="B158" s="22" t="s">
        <v>582</v>
      </c>
      <c r="C158" s="8" t="s">
        <v>243</v>
      </c>
      <c r="D158" s="8" t="s">
        <v>326</v>
      </c>
      <c r="E158" s="8" t="s">
        <v>398</v>
      </c>
      <c r="F158" s="8" t="s">
        <v>399</v>
      </c>
      <c r="G158" s="22">
        <v>5</v>
      </c>
      <c r="H158" s="22" t="s">
        <v>361</v>
      </c>
      <c r="I158" s="8" t="s">
        <v>400</v>
      </c>
      <c r="J158" s="8" t="s">
        <v>401</v>
      </c>
      <c r="K158" s="22">
        <v>5</v>
      </c>
      <c r="L158" s="27"/>
      <c r="M158" s="28"/>
      <c r="N158" s="28"/>
      <c r="O158" s="27"/>
    </row>
    <row r="159" ht="54" spans="1:15">
      <c r="A159" s="22">
        <v>158</v>
      </c>
      <c r="B159" s="22" t="s">
        <v>582</v>
      </c>
      <c r="C159" s="8" t="s">
        <v>243</v>
      </c>
      <c r="D159" s="8" t="s">
        <v>326</v>
      </c>
      <c r="E159" s="8" t="s">
        <v>402</v>
      </c>
      <c r="F159" s="8" t="s">
        <v>403</v>
      </c>
      <c r="G159" s="22">
        <v>5</v>
      </c>
      <c r="H159" s="22" t="s">
        <v>361</v>
      </c>
      <c r="I159" s="8" t="s">
        <v>404</v>
      </c>
      <c r="J159" s="8" t="s">
        <v>405</v>
      </c>
      <c r="K159" s="22">
        <v>5</v>
      </c>
      <c r="L159" s="27"/>
      <c r="M159" s="28"/>
      <c r="N159" s="28"/>
      <c r="O159" s="27"/>
    </row>
    <row r="160" ht="40.5" spans="1:15">
      <c r="A160" s="22">
        <v>159</v>
      </c>
      <c r="B160" s="22" t="s">
        <v>583</v>
      </c>
      <c r="C160" s="8" t="s">
        <v>243</v>
      </c>
      <c r="D160" s="8" t="s">
        <v>326</v>
      </c>
      <c r="E160" s="8" t="s">
        <v>398</v>
      </c>
      <c r="F160" s="8" t="s">
        <v>399</v>
      </c>
      <c r="G160" s="22">
        <v>5</v>
      </c>
      <c r="H160" s="22" t="s">
        <v>361</v>
      </c>
      <c r="I160" s="8" t="s">
        <v>400</v>
      </c>
      <c r="J160" s="8" t="s">
        <v>401</v>
      </c>
      <c r="K160" s="22">
        <v>5</v>
      </c>
      <c r="L160" s="27"/>
      <c r="M160" s="28"/>
      <c r="N160" s="28"/>
      <c r="O160" s="27"/>
    </row>
    <row r="161" ht="54" spans="1:15">
      <c r="A161" s="22">
        <v>160</v>
      </c>
      <c r="B161" s="22" t="s">
        <v>583</v>
      </c>
      <c r="C161" s="8" t="s">
        <v>243</v>
      </c>
      <c r="D161" s="8" t="s">
        <v>326</v>
      </c>
      <c r="E161" s="8" t="s">
        <v>402</v>
      </c>
      <c r="F161" s="8" t="s">
        <v>403</v>
      </c>
      <c r="G161" s="22">
        <v>5</v>
      </c>
      <c r="H161" s="22" t="s">
        <v>361</v>
      </c>
      <c r="I161" s="8" t="s">
        <v>404</v>
      </c>
      <c r="J161" s="8" t="s">
        <v>405</v>
      </c>
      <c r="K161" s="22">
        <v>5</v>
      </c>
      <c r="L161" s="27"/>
      <c r="M161" s="28"/>
      <c r="N161" s="28"/>
      <c r="O161" s="27"/>
    </row>
    <row r="162" ht="40.5" spans="1:15">
      <c r="A162" s="22">
        <v>161</v>
      </c>
      <c r="B162" s="22" t="s">
        <v>584</v>
      </c>
      <c r="C162" s="8" t="s">
        <v>243</v>
      </c>
      <c r="D162" s="8" t="s">
        <v>326</v>
      </c>
      <c r="E162" s="8" t="s">
        <v>398</v>
      </c>
      <c r="F162" s="8" t="s">
        <v>399</v>
      </c>
      <c r="G162" s="22">
        <v>5</v>
      </c>
      <c r="H162" s="22" t="s">
        <v>361</v>
      </c>
      <c r="I162" s="8" t="s">
        <v>400</v>
      </c>
      <c r="J162" s="8" t="s">
        <v>401</v>
      </c>
      <c r="K162" s="22">
        <v>5</v>
      </c>
      <c r="L162" s="27"/>
      <c r="M162" s="28"/>
      <c r="N162" s="28"/>
      <c r="O162" s="27"/>
    </row>
    <row r="163" ht="54" spans="1:15">
      <c r="A163" s="22">
        <v>162</v>
      </c>
      <c r="B163" s="22" t="s">
        <v>584</v>
      </c>
      <c r="C163" s="8" t="s">
        <v>243</v>
      </c>
      <c r="D163" s="8" t="s">
        <v>326</v>
      </c>
      <c r="E163" s="8" t="s">
        <v>402</v>
      </c>
      <c r="F163" s="8" t="s">
        <v>403</v>
      </c>
      <c r="G163" s="22">
        <v>5</v>
      </c>
      <c r="H163" s="22" t="s">
        <v>361</v>
      </c>
      <c r="I163" s="8" t="s">
        <v>404</v>
      </c>
      <c r="J163" s="8" t="s">
        <v>405</v>
      </c>
      <c r="K163" s="22">
        <v>5</v>
      </c>
      <c r="L163" s="27"/>
      <c r="M163" s="28"/>
      <c r="N163" s="28"/>
      <c r="O163" s="27"/>
    </row>
    <row r="164" ht="40.5" spans="1:15">
      <c r="A164" s="22">
        <v>163</v>
      </c>
      <c r="B164" s="22" t="s">
        <v>585</v>
      </c>
      <c r="C164" s="8" t="s">
        <v>243</v>
      </c>
      <c r="D164" s="8" t="s">
        <v>326</v>
      </c>
      <c r="E164" s="8" t="s">
        <v>398</v>
      </c>
      <c r="F164" s="8" t="s">
        <v>399</v>
      </c>
      <c r="G164" s="22">
        <v>5</v>
      </c>
      <c r="H164" s="22" t="s">
        <v>361</v>
      </c>
      <c r="I164" s="8" t="s">
        <v>400</v>
      </c>
      <c r="J164" s="8" t="s">
        <v>401</v>
      </c>
      <c r="K164" s="22">
        <v>5</v>
      </c>
      <c r="L164" s="27"/>
      <c r="M164" s="28"/>
      <c r="N164" s="28"/>
      <c r="O164" s="27"/>
    </row>
    <row r="165" ht="54" spans="1:15">
      <c r="A165" s="22">
        <v>164</v>
      </c>
      <c r="B165" s="22" t="s">
        <v>585</v>
      </c>
      <c r="C165" s="8" t="s">
        <v>243</v>
      </c>
      <c r="D165" s="8" t="s">
        <v>326</v>
      </c>
      <c r="E165" s="8" t="s">
        <v>402</v>
      </c>
      <c r="F165" s="8" t="s">
        <v>403</v>
      </c>
      <c r="G165" s="22">
        <v>5</v>
      </c>
      <c r="H165" s="22" t="s">
        <v>361</v>
      </c>
      <c r="I165" s="8" t="s">
        <v>404</v>
      </c>
      <c r="J165" s="8" t="s">
        <v>405</v>
      </c>
      <c r="K165" s="22">
        <v>5</v>
      </c>
      <c r="L165" s="27"/>
      <c r="M165" s="28"/>
      <c r="N165" s="28"/>
      <c r="O165" s="27"/>
    </row>
    <row r="166" ht="40.5" spans="1:15">
      <c r="A166" s="22">
        <v>165</v>
      </c>
      <c r="B166" s="22" t="s">
        <v>586</v>
      </c>
      <c r="C166" s="8" t="s">
        <v>243</v>
      </c>
      <c r="D166" s="8" t="s">
        <v>326</v>
      </c>
      <c r="E166" s="8" t="s">
        <v>398</v>
      </c>
      <c r="F166" s="8" t="s">
        <v>399</v>
      </c>
      <c r="G166" s="22">
        <v>5</v>
      </c>
      <c r="H166" s="22" t="s">
        <v>361</v>
      </c>
      <c r="I166" s="8" t="s">
        <v>400</v>
      </c>
      <c r="J166" s="8" t="s">
        <v>401</v>
      </c>
      <c r="K166" s="22">
        <v>5</v>
      </c>
      <c r="L166" s="27"/>
      <c r="M166" s="28"/>
      <c r="N166" s="28"/>
      <c r="O166" s="27"/>
    </row>
    <row r="167" ht="54" spans="1:15">
      <c r="A167" s="22">
        <v>166</v>
      </c>
      <c r="B167" s="22" t="s">
        <v>586</v>
      </c>
      <c r="C167" s="8" t="s">
        <v>243</v>
      </c>
      <c r="D167" s="8" t="s">
        <v>326</v>
      </c>
      <c r="E167" s="8" t="s">
        <v>402</v>
      </c>
      <c r="F167" s="8" t="s">
        <v>403</v>
      </c>
      <c r="G167" s="22">
        <v>5</v>
      </c>
      <c r="H167" s="22" t="s">
        <v>361</v>
      </c>
      <c r="I167" s="8" t="s">
        <v>404</v>
      </c>
      <c r="J167" s="8" t="s">
        <v>405</v>
      </c>
      <c r="K167" s="22">
        <v>5</v>
      </c>
      <c r="L167" s="27"/>
      <c r="M167" s="28"/>
      <c r="N167" s="28"/>
      <c r="O167" s="27"/>
    </row>
    <row r="168" ht="27" spans="1:15">
      <c r="A168" s="22">
        <v>167</v>
      </c>
      <c r="B168" s="22" t="s">
        <v>587</v>
      </c>
      <c r="C168" s="8" t="s">
        <v>279</v>
      </c>
      <c r="D168" s="8" t="s">
        <v>361</v>
      </c>
      <c r="E168" s="8" t="s">
        <v>473</v>
      </c>
      <c r="F168" s="8" t="s">
        <v>472</v>
      </c>
      <c r="G168" s="22">
        <v>5</v>
      </c>
      <c r="H168" s="22" t="s">
        <v>348</v>
      </c>
      <c r="I168" s="8" t="s">
        <v>473</v>
      </c>
      <c r="J168" s="8" t="s">
        <v>472</v>
      </c>
      <c r="K168" s="22">
        <v>5</v>
      </c>
      <c r="L168" s="27"/>
      <c r="M168" s="28"/>
      <c r="N168" s="28"/>
      <c r="O168" s="27"/>
    </row>
    <row r="169" ht="27" spans="1:15">
      <c r="A169" s="22">
        <v>168</v>
      </c>
      <c r="B169" s="22" t="s">
        <v>587</v>
      </c>
      <c r="C169" s="8" t="s">
        <v>279</v>
      </c>
      <c r="D169" s="8" t="s">
        <v>361</v>
      </c>
      <c r="E169" s="8" t="s">
        <v>474</v>
      </c>
      <c r="F169" s="8" t="s">
        <v>483</v>
      </c>
      <c r="G169" s="22">
        <v>5</v>
      </c>
      <c r="H169" s="22" t="s">
        <v>348</v>
      </c>
      <c r="I169" s="8" t="s">
        <v>474</v>
      </c>
      <c r="J169" s="8" t="s">
        <v>475</v>
      </c>
      <c r="K169" s="22">
        <v>5</v>
      </c>
      <c r="L169" s="27"/>
      <c r="M169" s="28"/>
      <c r="N169" s="28"/>
      <c r="O169" s="27"/>
    </row>
    <row r="170" ht="40.5" spans="1:15">
      <c r="A170" s="22">
        <v>169</v>
      </c>
      <c r="B170" s="22" t="s">
        <v>588</v>
      </c>
      <c r="C170" s="8" t="s">
        <v>268</v>
      </c>
      <c r="D170" s="8" t="s">
        <v>361</v>
      </c>
      <c r="E170" s="8" t="s">
        <v>459</v>
      </c>
      <c r="F170" s="8" t="s">
        <v>460</v>
      </c>
      <c r="G170" s="22">
        <v>5</v>
      </c>
      <c r="H170" s="22" t="s">
        <v>348</v>
      </c>
      <c r="I170" s="8" t="s">
        <v>461</v>
      </c>
      <c r="J170" s="8" t="s">
        <v>462</v>
      </c>
      <c r="K170" s="22">
        <v>5</v>
      </c>
      <c r="L170" s="27"/>
      <c r="M170" s="28"/>
      <c r="N170" s="28"/>
      <c r="O170" s="27"/>
    </row>
    <row r="171" ht="40.5" spans="1:15">
      <c r="A171" s="22">
        <v>170</v>
      </c>
      <c r="B171" s="22" t="s">
        <v>588</v>
      </c>
      <c r="C171" s="8" t="s">
        <v>268</v>
      </c>
      <c r="D171" s="8" t="s">
        <v>361</v>
      </c>
      <c r="E171" s="8" t="s">
        <v>463</v>
      </c>
      <c r="F171" s="8" t="s">
        <v>464</v>
      </c>
      <c r="G171" s="22">
        <v>5</v>
      </c>
      <c r="H171" s="22" t="s">
        <v>348</v>
      </c>
      <c r="I171" s="8" t="s">
        <v>465</v>
      </c>
      <c r="J171" s="8" t="s">
        <v>466</v>
      </c>
      <c r="K171" s="22">
        <v>5</v>
      </c>
      <c r="L171" s="27"/>
      <c r="M171" s="28"/>
      <c r="N171" s="28"/>
      <c r="O171" s="27"/>
    </row>
    <row r="172" spans="1:15">
      <c r="A172" s="22">
        <v>171</v>
      </c>
      <c r="B172" s="22" t="s">
        <v>589</v>
      </c>
      <c r="C172" s="8" t="s">
        <v>257</v>
      </c>
      <c r="D172" s="8" t="s">
        <v>326</v>
      </c>
      <c r="E172" s="8" t="s">
        <v>428</v>
      </c>
      <c r="F172" s="8" t="s">
        <v>429</v>
      </c>
      <c r="G172" s="22">
        <v>5</v>
      </c>
      <c r="H172" s="22" t="s">
        <v>348</v>
      </c>
      <c r="I172" s="8" t="s">
        <v>430</v>
      </c>
      <c r="J172" s="8" t="s">
        <v>431</v>
      </c>
      <c r="K172" s="22">
        <v>5</v>
      </c>
      <c r="L172" s="27"/>
      <c r="M172" s="28"/>
      <c r="N172" s="28"/>
      <c r="O172" s="27"/>
    </row>
    <row r="173" ht="27" spans="1:15">
      <c r="A173" s="22">
        <v>172</v>
      </c>
      <c r="B173" s="22" t="s">
        <v>589</v>
      </c>
      <c r="C173" s="8" t="s">
        <v>257</v>
      </c>
      <c r="D173" s="8" t="s">
        <v>326</v>
      </c>
      <c r="E173" s="8" t="s">
        <v>425</v>
      </c>
      <c r="F173" s="8" t="s">
        <v>426</v>
      </c>
      <c r="G173" s="22">
        <v>5</v>
      </c>
      <c r="H173" s="22" t="s">
        <v>348</v>
      </c>
      <c r="I173" s="8" t="s">
        <v>432</v>
      </c>
      <c r="J173" s="8" t="s">
        <v>433</v>
      </c>
      <c r="K173" s="22">
        <v>5</v>
      </c>
      <c r="L173" s="27"/>
      <c r="M173" s="28"/>
      <c r="N173" s="28"/>
      <c r="O173" s="27"/>
    </row>
    <row r="174" ht="27" spans="1:15">
      <c r="A174" s="22">
        <v>173</v>
      </c>
      <c r="B174" s="22" t="s">
        <v>590</v>
      </c>
      <c r="C174" s="8" t="s">
        <v>318</v>
      </c>
      <c r="D174" s="8" t="s">
        <v>348</v>
      </c>
      <c r="E174" s="8" t="s">
        <v>591</v>
      </c>
      <c r="F174" s="8" t="s">
        <v>592</v>
      </c>
      <c r="G174" s="22">
        <v>5</v>
      </c>
      <c r="H174" s="22" t="s">
        <v>326</v>
      </c>
      <c r="I174" s="8" t="s">
        <v>593</v>
      </c>
      <c r="J174" s="8" t="s">
        <v>594</v>
      </c>
      <c r="K174" s="22">
        <v>5</v>
      </c>
      <c r="L174" s="27" t="s">
        <v>361</v>
      </c>
      <c r="M174" s="28" t="s">
        <v>591</v>
      </c>
      <c r="N174" s="28" t="s">
        <v>594</v>
      </c>
      <c r="O174" s="27"/>
    </row>
    <row r="175" ht="54" spans="1:15">
      <c r="A175" s="22">
        <v>174</v>
      </c>
      <c r="B175" s="22" t="s">
        <v>590</v>
      </c>
      <c r="C175" s="8" t="s">
        <v>318</v>
      </c>
      <c r="D175" s="8" t="s">
        <v>348</v>
      </c>
      <c r="E175" s="8" t="s">
        <v>595</v>
      </c>
      <c r="F175" s="8" t="s">
        <v>596</v>
      </c>
      <c r="G175" s="22">
        <v>5</v>
      </c>
      <c r="H175" s="22" t="s">
        <v>326</v>
      </c>
      <c r="I175" s="8" t="s">
        <v>597</v>
      </c>
      <c r="J175" s="8" t="s">
        <v>598</v>
      </c>
      <c r="K175" s="22">
        <v>5</v>
      </c>
      <c r="L175" s="27" t="s">
        <v>361</v>
      </c>
      <c r="M175" s="28" t="s">
        <v>595</v>
      </c>
      <c r="N175" s="28" t="s">
        <v>598</v>
      </c>
      <c r="O175" s="27"/>
    </row>
    <row r="176" ht="27" spans="1:15">
      <c r="A176" s="22">
        <v>175</v>
      </c>
      <c r="B176" s="22" t="s">
        <v>599</v>
      </c>
      <c r="C176" s="8" t="s">
        <v>249</v>
      </c>
      <c r="D176" s="8" t="s">
        <v>326</v>
      </c>
      <c r="E176" s="8" t="s">
        <v>407</v>
      </c>
      <c r="F176" s="8" t="s">
        <v>408</v>
      </c>
      <c r="G176" s="22">
        <v>5</v>
      </c>
      <c r="H176" s="22" t="s">
        <v>361</v>
      </c>
      <c r="I176" s="8" t="s">
        <v>409</v>
      </c>
      <c r="J176" s="8" t="s">
        <v>410</v>
      </c>
      <c r="K176" s="22">
        <v>5</v>
      </c>
      <c r="L176" s="27"/>
      <c r="M176" s="28"/>
      <c r="N176" s="28"/>
      <c r="O176" s="27"/>
    </row>
    <row r="177" ht="27" spans="1:15">
      <c r="A177" s="22">
        <v>176</v>
      </c>
      <c r="B177" s="22" t="s">
        <v>599</v>
      </c>
      <c r="C177" s="8" t="s">
        <v>249</v>
      </c>
      <c r="D177" s="8" t="s">
        <v>326</v>
      </c>
      <c r="E177" s="8" t="s">
        <v>411</v>
      </c>
      <c r="F177" s="8" t="s">
        <v>412</v>
      </c>
      <c r="G177" s="22">
        <v>5</v>
      </c>
      <c r="H177" s="22" t="s">
        <v>361</v>
      </c>
      <c r="I177" s="8" t="s">
        <v>413</v>
      </c>
      <c r="J177" s="8" t="s">
        <v>414</v>
      </c>
      <c r="K177" s="22">
        <v>5</v>
      </c>
      <c r="L177" s="27"/>
      <c r="M177" s="28"/>
      <c r="N177" s="28"/>
      <c r="O177" s="27"/>
    </row>
    <row r="178" ht="40.5" spans="1:15">
      <c r="A178" s="22">
        <v>177</v>
      </c>
      <c r="B178" s="22" t="s">
        <v>600</v>
      </c>
      <c r="C178" s="14" t="s">
        <v>264</v>
      </c>
      <c r="D178" s="8" t="s">
        <v>326</v>
      </c>
      <c r="E178" s="24" t="s">
        <v>444</v>
      </c>
      <c r="F178" s="24" t="s">
        <v>445</v>
      </c>
      <c r="G178" s="25">
        <v>5</v>
      </c>
      <c r="H178" s="22" t="s">
        <v>361</v>
      </c>
      <c r="I178" s="8" t="s">
        <v>446</v>
      </c>
      <c r="J178" s="8" t="s">
        <v>447</v>
      </c>
      <c r="K178" s="22">
        <v>5</v>
      </c>
      <c r="L178" s="27" t="s">
        <v>348</v>
      </c>
      <c r="M178" s="28" t="s">
        <v>448</v>
      </c>
      <c r="N178" s="28" t="s">
        <v>449</v>
      </c>
      <c r="O178" s="27">
        <v>5</v>
      </c>
    </row>
    <row r="179" ht="40.5" spans="1:15">
      <c r="A179" s="22">
        <v>178</v>
      </c>
      <c r="B179" s="22" t="s">
        <v>600</v>
      </c>
      <c r="C179" s="14" t="s">
        <v>264</v>
      </c>
      <c r="D179" s="8" t="s">
        <v>326</v>
      </c>
      <c r="E179" s="24" t="s">
        <v>450</v>
      </c>
      <c r="F179" s="24" t="s">
        <v>451</v>
      </c>
      <c r="G179" s="25">
        <v>5</v>
      </c>
      <c r="H179" s="22" t="s">
        <v>361</v>
      </c>
      <c r="I179" s="8" t="s">
        <v>452</v>
      </c>
      <c r="J179" s="8" t="s">
        <v>453</v>
      </c>
      <c r="K179" s="22">
        <v>5</v>
      </c>
      <c r="L179" s="27" t="s">
        <v>348</v>
      </c>
      <c r="M179" s="28" t="s">
        <v>454</v>
      </c>
      <c r="N179" s="28" t="s">
        <v>455</v>
      </c>
      <c r="O179" s="27">
        <v>5</v>
      </c>
    </row>
    <row r="180" ht="40.5" spans="1:15">
      <c r="A180" s="22">
        <v>179</v>
      </c>
      <c r="B180" s="22" t="s">
        <v>601</v>
      </c>
      <c r="C180" s="14" t="s">
        <v>264</v>
      </c>
      <c r="D180" s="8" t="s">
        <v>326</v>
      </c>
      <c r="E180" s="24" t="s">
        <v>444</v>
      </c>
      <c r="F180" s="24" t="s">
        <v>445</v>
      </c>
      <c r="G180" s="25">
        <v>5</v>
      </c>
      <c r="H180" s="22" t="s">
        <v>361</v>
      </c>
      <c r="I180" s="8" t="s">
        <v>446</v>
      </c>
      <c r="J180" s="8" t="s">
        <v>447</v>
      </c>
      <c r="K180" s="22">
        <v>5</v>
      </c>
      <c r="L180" s="27" t="s">
        <v>348</v>
      </c>
      <c r="M180" s="28" t="s">
        <v>448</v>
      </c>
      <c r="N180" s="28" t="s">
        <v>449</v>
      </c>
      <c r="O180" s="27">
        <v>5</v>
      </c>
    </row>
    <row r="181" ht="40.5" spans="1:15">
      <c r="A181" s="22">
        <v>180</v>
      </c>
      <c r="B181" s="22" t="s">
        <v>601</v>
      </c>
      <c r="C181" s="14" t="s">
        <v>264</v>
      </c>
      <c r="D181" s="8" t="s">
        <v>326</v>
      </c>
      <c r="E181" s="24" t="s">
        <v>450</v>
      </c>
      <c r="F181" s="24" t="s">
        <v>451</v>
      </c>
      <c r="G181" s="25">
        <v>5</v>
      </c>
      <c r="H181" s="22" t="s">
        <v>361</v>
      </c>
      <c r="I181" s="8" t="s">
        <v>452</v>
      </c>
      <c r="J181" s="8" t="s">
        <v>453</v>
      </c>
      <c r="K181" s="22">
        <v>5</v>
      </c>
      <c r="L181" s="27" t="s">
        <v>348</v>
      </c>
      <c r="M181" s="28" t="s">
        <v>454</v>
      </c>
      <c r="N181" s="28" t="s">
        <v>455</v>
      </c>
      <c r="O181" s="27">
        <v>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T37"/>
  <sheetViews>
    <sheetView workbookViewId="0">
      <pane xSplit="2" ySplit="2" topLeftCell="C3" activePane="bottomRight" state="frozen"/>
      <selection/>
      <selection pane="topRight"/>
      <selection pane="bottomLeft"/>
      <selection pane="bottomRight" activeCell="B2" sqref="B2"/>
    </sheetView>
  </sheetViews>
  <sheetFormatPr defaultColWidth="9" defaultRowHeight="14.4" customHeight="1"/>
  <cols>
    <col min="1" max="1" width="5.75" style="5" customWidth="1"/>
    <col min="2" max="2" width="17.375" style="5" customWidth="1"/>
    <col min="3" max="3" width="50.625" style="6" customWidth="1"/>
    <col min="4" max="4" width="22.375" style="6" customWidth="1"/>
    <col min="5" max="5" width="9" style="5"/>
    <col min="6" max="6" width="50.625" style="5" customWidth="1"/>
    <col min="7" max="7" width="18.5" style="5" customWidth="1"/>
    <col min="8" max="8" width="9" style="5"/>
    <col min="9" max="9" width="50.625" style="6" customWidth="1"/>
    <col min="10" max="10" width="23.1666666666667" style="5" customWidth="1"/>
    <col min="11" max="11" width="9" style="5"/>
    <col min="12" max="12" width="50.625" style="5" customWidth="1"/>
    <col min="13" max="13" width="29.8333333333333" style="5" customWidth="1"/>
    <col min="14" max="14" width="9" style="5"/>
    <col min="15" max="15" width="50.625" style="6" customWidth="1"/>
    <col min="16" max="17" width="9" style="5"/>
    <col min="18" max="18" width="50.625" style="6" customWidth="1"/>
    <col min="19" max="19" width="9" style="6"/>
    <col min="20" max="20" width="9" style="5"/>
  </cols>
  <sheetData>
    <row r="1" s="1" customFormat="1" ht="14.25" spans="1:20">
      <c r="A1" s="7" t="s">
        <v>0</v>
      </c>
      <c r="B1" s="7" t="s">
        <v>23</v>
      </c>
      <c r="C1" s="7" t="s">
        <v>602</v>
      </c>
      <c r="D1" s="7" t="s">
        <v>603</v>
      </c>
      <c r="E1" s="7" t="s">
        <v>604</v>
      </c>
      <c r="F1" s="7" t="s">
        <v>605</v>
      </c>
      <c r="G1" s="7" t="s">
        <v>606</v>
      </c>
      <c r="H1" s="7" t="s">
        <v>607</v>
      </c>
      <c r="I1" s="7" t="s">
        <v>608</v>
      </c>
      <c r="J1" s="7" t="s">
        <v>609</v>
      </c>
      <c r="K1" s="7" t="s">
        <v>610</v>
      </c>
      <c r="L1" s="7" t="s">
        <v>611</v>
      </c>
      <c r="M1" s="7" t="s">
        <v>612</v>
      </c>
      <c r="N1" s="7" t="s">
        <v>613</v>
      </c>
      <c r="O1" s="7" t="s">
        <v>614</v>
      </c>
      <c r="P1" s="7" t="s">
        <v>615</v>
      </c>
      <c r="Q1" s="7" t="s">
        <v>616</v>
      </c>
      <c r="R1" s="7" t="s">
        <v>617</v>
      </c>
      <c r="S1" s="7" t="s">
        <v>618</v>
      </c>
      <c r="T1" s="7" t="s">
        <v>619</v>
      </c>
    </row>
    <row r="2" ht="67.5" spans="1:20">
      <c r="A2" s="8">
        <v>1</v>
      </c>
      <c r="B2" s="8" t="s">
        <v>26</v>
      </c>
      <c r="C2" s="8" t="s">
        <v>620</v>
      </c>
      <c r="D2" s="8" t="s">
        <v>621</v>
      </c>
      <c r="E2" s="8">
        <v>5</v>
      </c>
      <c r="F2" s="8" t="s">
        <v>622</v>
      </c>
      <c r="G2" s="8" t="s">
        <v>621</v>
      </c>
      <c r="H2" s="8">
        <v>4</v>
      </c>
      <c r="I2" s="8" t="s">
        <v>623</v>
      </c>
      <c r="J2" s="8" t="s">
        <v>624</v>
      </c>
      <c r="K2" s="8">
        <v>5</v>
      </c>
      <c r="L2" s="8" t="s">
        <v>625</v>
      </c>
      <c r="M2" s="8" t="s">
        <v>626</v>
      </c>
      <c r="N2" s="8">
        <v>4</v>
      </c>
      <c r="O2" s="8" t="s">
        <v>627</v>
      </c>
      <c r="P2" s="8" t="s">
        <v>341</v>
      </c>
      <c r="Q2" s="8">
        <v>5</v>
      </c>
      <c r="R2" s="8" t="s">
        <v>628</v>
      </c>
      <c r="S2" s="8" t="s">
        <v>629</v>
      </c>
      <c r="T2" s="8">
        <v>4</v>
      </c>
    </row>
    <row r="3" s="2" customFormat="1" ht="67.5" spans="1:20">
      <c r="A3" s="8">
        <v>2</v>
      </c>
      <c r="B3" s="8" t="s">
        <v>29</v>
      </c>
      <c r="C3" s="8" t="s">
        <v>630</v>
      </c>
      <c r="D3" s="8" t="s">
        <v>631</v>
      </c>
      <c r="E3" s="8">
        <v>5</v>
      </c>
      <c r="F3" s="8" t="s">
        <v>622</v>
      </c>
      <c r="G3" s="8" t="s">
        <v>631</v>
      </c>
      <c r="H3" s="8">
        <v>4</v>
      </c>
      <c r="I3" s="8" t="s">
        <v>623</v>
      </c>
      <c r="J3" s="8" t="s">
        <v>624</v>
      </c>
      <c r="K3" s="8">
        <v>5</v>
      </c>
      <c r="L3" s="8" t="s">
        <v>625</v>
      </c>
      <c r="M3" s="8" t="s">
        <v>626</v>
      </c>
      <c r="N3" s="8">
        <v>4</v>
      </c>
      <c r="O3" s="8" t="s">
        <v>627</v>
      </c>
      <c r="P3" s="8" t="s">
        <v>341</v>
      </c>
      <c r="Q3" s="8">
        <v>5</v>
      </c>
      <c r="R3" s="8" t="s">
        <v>628</v>
      </c>
      <c r="S3" s="8" t="s">
        <v>629</v>
      </c>
      <c r="T3" s="8">
        <v>4</v>
      </c>
    </row>
    <row r="4" s="2" customFormat="1" ht="67.5" spans="1:20">
      <c r="A4" s="8">
        <v>3</v>
      </c>
      <c r="B4" s="8" t="s">
        <v>31</v>
      </c>
      <c r="C4" s="8" t="s">
        <v>632</v>
      </c>
      <c r="D4" s="8" t="s">
        <v>621</v>
      </c>
      <c r="E4" s="8">
        <v>5</v>
      </c>
      <c r="F4" s="8" t="s">
        <v>633</v>
      </c>
      <c r="G4" s="8" t="s">
        <v>621</v>
      </c>
      <c r="H4" s="8">
        <v>4</v>
      </c>
      <c r="I4" s="8" t="s">
        <v>634</v>
      </c>
      <c r="J4" s="8" t="s">
        <v>624</v>
      </c>
      <c r="K4" s="8">
        <v>5</v>
      </c>
      <c r="L4" s="8" t="s">
        <v>625</v>
      </c>
      <c r="M4" s="8" t="s">
        <v>626</v>
      </c>
      <c r="N4" s="8">
        <v>4</v>
      </c>
      <c r="O4" s="8" t="s">
        <v>627</v>
      </c>
      <c r="P4" s="8" t="s">
        <v>341</v>
      </c>
      <c r="Q4" s="8">
        <v>5</v>
      </c>
      <c r="R4" s="8" t="s">
        <v>628</v>
      </c>
      <c r="S4" s="8" t="s">
        <v>629</v>
      </c>
      <c r="T4" s="8">
        <v>4</v>
      </c>
    </row>
    <row r="5" s="2" customFormat="1" ht="67.5" spans="1:20">
      <c r="A5" s="8">
        <v>4</v>
      </c>
      <c r="B5" s="8" t="s">
        <v>33</v>
      </c>
      <c r="C5" s="8" t="s">
        <v>632</v>
      </c>
      <c r="D5" s="8" t="s">
        <v>631</v>
      </c>
      <c r="E5" s="8">
        <v>5</v>
      </c>
      <c r="F5" s="8" t="s">
        <v>633</v>
      </c>
      <c r="G5" s="8" t="s">
        <v>631</v>
      </c>
      <c r="H5" s="8">
        <v>4</v>
      </c>
      <c r="I5" s="8" t="s">
        <v>634</v>
      </c>
      <c r="J5" s="8" t="s">
        <v>624</v>
      </c>
      <c r="K5" s="8">
        <v>5</v>
      </c>
      <c r="L5" s="8" t="s">
        <v>625</v>
      </c>
      <c r="M5" s="8" t="s">
        <v>626</v>
      </c>
      <c r="N5" s="8">
        <v>4</v>
      </c>
      <c r="O5" s="8" t="s">
        <v>627</v>
      </c>
      <c r="P5" s="8" t="s">
        <v>341</v>
      </c>
      <c r="Q5" s="8">
        <v>5</v>
      </c>
      <c r="R5" s="8" t="s">
        <v>628</v>
      </c>
      <c r="S5" s="8" t="s">
        <v>629</v>
      </c>
      <c r="T5" s="8">
        <v>4</v>
      </c>
    </row>
    <row r="6" ht="54" spans="1:20">
      <c r="A6" s="8">
        <v>8</v>
      </c>
      <c r="B6" s="8" t="s">
        <v>48</v>
      </c>
      <c r="C6" s="8" t="s">
        <v>635</v>
      </c>
      <c r="D6" s="8" t="s">
        <v>636</v>
      </c>
      <c r="E6" s="8">
        <v>5</v>
      </c>
      <c r="F6" s="8" t="s">
        <v>637</v>
      </c>
      <c r="G6" s="8" t="s">
        <v>636</v>
      </c>
      <c r="H6" s="8">
        <v>4</v>
      </c>
      <c r="I6" s="8" t="s">
        <v>638</v>
      </c>
      <c r="J6" s="8" t="s">
        <v>624</v>
      </c>
      <c r="K6" s="8">
        <v>5</v>
      </c>
      <c r="L6" s="8" t="s">
        <v>639</v>
      </c>
      <c r="M6" s="8" t="s">
        <v>640</v>
      </c>
      <c r="N6" s="8">
        <v>4</v>
      </c>
      <c r="O6" s="8" t="s">
        <v>641</v>
      </c>
      <c r="P6" s="8" t="s">
        <v>341</v>
      </c>
      <c r="Q6" s="8">
        <v>5</v>
      </c>
      <c r="R6" s="8" t="s">
        <v>628</v>
      </c>
      <c r="S6" s="8" t="s">
        <v>629</v>
      </c>
      <c r="T6" s="8"/>
    </row>
    <row r="7" ht="54" spans="1:20">
      <c r="A7" s="8">
        <v>9</v>
      </c>
      <c r="B7" s="8" t="s">
        <v>51</v>
      </c>
      <c r="C7" s="8" t="s">
        <v>642</v>
      </c>
      <c r="D7" s="8" t="s">
        <v>636</v>
      </c>
      <c r="E7" s="8">
        <v>5</v>
      </c>
      <c r="F7" s="8" t="s">
        <v>643</v>
      </c>
      <c r="G7" s="8" t="s">
        <v>636</v>
      </c>
      <c r="H7" s="8">
        <v>4</v>
      </c>
      <c r="I7" s="8" t="s">
        <v>638</v>
      </c>
      <c r="J7" s="8" t="s">
        <v>624</v>
      </c>
      <c r="K7" s="8">
        <v>5</v>
      </c>
      <c r="L7" s="8" t="s">
        <v>639</v>
      </c>
      <c r="M7" s="8" t="s">
        <v>640</v>
      </c>
      <c r="N7" s="8">
        <v>4</v>
      </c>
      <c r="O7" s="8" t="s">
        <v>641</v>
      </c>
      <c r="P7" s="8" t="s">
        <v>341</v>
      </c>
      <c r="Q7" s="8">
        <v>5</v>
      </c>
      <c r="R7" s="8" t="s">
        <v>628</v>
      </c>
      <c r="S7" s="8" t="s">
        <v>629</v>
      </c>
      <c r="T7" s="8"/>
    </row>
    <row r="8" s="2" customFormat="1" ht="27" spans="1:20">
      <c r="A8" s="8">
        <v>10</v>
      </c>
      <c r="B8" s="8" t="s">
        <v>54</v>
      </c>
      <c r="C8" s="8" t="s">
        <v>644</v>
      </c>
      <c r="D8" s="8" t="s">
        <v>645</v>
      </c>
      <c r="E8" s="8">
        <v>5</v>
      </c>
      <c r="F8" s="8" t="s">
        <v>646</v>
      </c>
      <c r="G8" s="8" t="s">
        <v>341</v>
      </c>
      <c r="H8" s="8">
        <v>4</v>
      </c>
      <c r="I8" s="8" t="s">
        <v>647</v>
      </c>
      <c r="J8" s="8" t="s">
        <v>624</v>
      </c>
      <c r="K8" s="8">
        <v>5</v>
      </c>
      <c r="L8" s="8" t="s">
        <v>648</v>
      </c>
      <c r="M8" s="8" t="s">
        <v>341</v>
      </c>
      <c r="N8" s="8">
        <v>4</v>
      </c>
      <c r="O8" s="8" t="s">
        <v>641</v>
      </c>
      <c r="P8" s="8" t="s">
        <v>341</v>
      </c>
      <c r="Q8" s="8">
        <v>5</v>
      </c>
      <c r="R8" s="8" t="s">
        <v>628</v>
      </c>
      <c r="S8" s="8" t="s">
        <v>629</v>
      </c>
      <c r="T8" s="8"/>
    </row>
    <row r="9" s="2" customFormat="1" ht="40.5" spans="1:20">
      <c r="A9" s="8">
        <v>11</v>
      </c>
      <c r="B9" s="8" t="s">
        <v>57</v>
      </c>
      <c r="C9" s="8" t="s">
        <v>649</v>
      </c>
      <c r="D9" s="8" t="s">
        <v>645</v>
      </c>
      <c r="E9" s="8">
        <v>5</v>
      </c>
      <c r="F9" s="8" t="s">
        <v>650</v>
      </c>
      <c r="G9" s="8" t="s">
        <v>341</v>
      </c>
      <c r="H9" s="8">
        <v>4</v>
      </c>
      <c r="I9" s="8" t="s">
        <v>651</v>
      </c>
      <c r="J9" s="8" t="s">
        <v>624</v>
      </c>
      <c r="K9" s="8">
        <v>5</v>
      </c>
      <c r="L9" s="8" t="s">
        <v>652</v>
      </c>
      <c r="M9" s="8" t="s">
        <v>341</v>
      </c>
      <c r="N9" s="8">
        <v>4</v>
      </c>
      <c r="O9" s="8" t="s">
        <v>641</v>
      </c>
      <c r="P9" s="8" t="s">
        <v>341</v>
      </c>
      <c r="Q9" s="8">
        <v>5</v>
      </c>
      <c r="R9" s="8" t="s">
        <v>628</v>
      </c>
      <c r="S9" s="8" t="s">
        <v>629</v>
      </c>
      <c r="T9" s="8"/>
    </row>
    <row r="10" s="2" customFormat="1" ht="40.5" spans="1:20">
      <c r="A10" s="8">
        <v>12</v>
      </c>
      <c r="B10" s="8" t="s">
        <v>59</v>
      </c>
      <c r="C10" s="8" t="s">
        <v>653</v>
      </c>
      <c r="D10" s="8" t="s">
        <v>645</v>
      </c>
      <c r="E10" s="8">
        <v>5</v>
      </c>
      <c r="F10" s="8" t="s">
        <v>654</v>
      </c>
      <c r="G10" s="8" t="s">
        <v>341</v>
      </c>
      <c r="H10" s="8">
        <v>4</v>
      </c>
      <c r="I10" s="8" t="s">
        <v>651</v>
      </c>
      <c r="J10" s="8" t="s">
        <v>624</v>
      </c>
      <c r="K10" s="8">
        <v>5</v>
      </c>
      <c r="L10" s="8" t="s">
        <v>652</v>
      </c>
      <c r="M10" s="8" t="s">
        <v>341</v>
      </c>
      <c r="N10" s="8">
        <v>4</v>
      </c>
      <c r="O10" s="8" t="s">
        <v>641</v>
      </c>
      <c r="P10" s="8" t="s">
        <v>341</v>
      </c>
      <c r="Q10" s="8">
        <v>5</v>
      </c>
      <c r="R10" s="8" t="s">
        <v>628</v>
      </c>
      <c r="S10" s="8" t="s">
        <v>629</v>
      </c>
      <c r="T10" s="8"/>
    </row>
    <row r="11" s="2" customFormat="1" ht="40.5" spans="1:20">
      <c r="A11" s="8">
        <v>13</v>
      </c>
      <c r="B11" s="8" t="s">
        <v>61</v>
      </c>
      <c r="C11" s="8" t="s">
        <v>655</v>
      </c>
      <c r="D11" s="8" t="s">
        <v>645</v>
      </c>
      <c r="E11" s="8">
        <v>5</v>
      </c>
      <c r="F11" s="8" t="s">
        <v>656</v>
      </c>
      <c r="G11" s="8" t="s">
        <v>341</v>
      </c>
      <c r="H11" s="8">
        <v>4</v>
      </c>
      <c r="I11" s="8" t="s">
        <v>651</v>
      </c>
      <c r="J11" s="8" t="s">
        <v>624</v>
      </c>
      <c r="K11" s="8">
        <v>5</v>
      </c>
      <c r="L11" s="8" t="s">
        <v>652</v>
      </c>
      <c r="M11" s="8" t="s">
        <v>341</v>
      </c>
      <c r="N11" s="8">
        <v>4</v>
      </c>
      <c r="O11" s="8" t="s">
        <v>641</v>
      </c>
      <c r="P11" s="8" t="s">
        <v>341</v>
      </c>
      <c r="Q11" s="8">
        <v>5</v>
      </c>
      <c r="R11" s="8" t="s">
        <v>628</v>
      </c>
      <c r="S11" s="8" t="s">
        <v>629</v>
      </c>
      <c r="T11" s="8"/>
    </row>
    <row r="12" s="2" customFormat="1" ht="67.5" spans="1:20">
      <c r="A12" s="8">
        <v>22</v>
      </c>
      <c r="B12" s="8" t="s">
        <v>77</v>
      </c>
      <c r="C12" s="8" t="s">
        <v>657</v>
      </c>
      <c r="D12" s="8" t="s">
        <v>331</v>
      </c>
      <c r="E12" s="8">
        <v>5</v>
      </c>
      <c r="F12" s="8" t="s">
        <v>658</v>
      </c>
      <c r="G12" s="8" t="s">
        <v>331</v>
      </c>
      <c r="H12" s="8">
        <v>4</v>
      </c>
      <c r="I12" s="8" t="s">
        <v>659</v>
      </c>
      <c r="J12" s="8" t="s">
        <v>636</v>
      </c>
      <c r="K12" s="8">
        <v>5</v>
      </c>
      <c r="L12" s="8" t="s">
        <v>660</v>
      </c>
      <c r="M12" s="8" t="s">
        <v>636</v>
      </c>
      <c r="N12" s="8">
        <v>4</v>
      </c>
      <c r="O12" s="8" t="s">
        <v>661</v>
      </c>
      <c r="P12" s="8" t="s">
        <v>341</v>
      </c>
      <c r="Q12" s="8">
        <v>5</v>
      </c>
      <c r="R12" s="8"/>
      <c r="S12" s="8"/>
      <c r="T12" s="8"/>
    </row>
    <row r="13" ht="67.5" spans="1:20">
      <c r="A13" s="8">
        <v>23</v>
      </c>
      <c r="B13" s="8" t="s">
        <v>80</v>
      </c>
      <c r="C13" s="8" t="s">
        <v>662</v>
      </c>
      <c r="D13" s="8" t="s">
        <v>331</v>
      </c>
      <c r="E13" s="8">
        <v>5</v>
      </c>
      <c r="F13" s="8" t="s">
        <v>663</v>
      </c>
      <c r="G13" s="8" t="s">
        <v>331</v>
      </c>
      <c r="H13" s="8">
        <v>4</v>
      </c>
      <c r="I13" s="8" t="s">
        <v>659</v>
      </c>
      <c r="J13" s="8" t="s">
        <v>636</v>
      </c>
      <c r="K13" s="8">
        <v>5</v>
      </c>
      <c r="L13" s="8" t="s">
        <v>664</v>
      </c>
      <c r="M13" s="8" t="s">
        <v>636</v>
      </c>
      <c r="N13" s="8">
        <v>4</v>
      </c>
      <c r="O13" s="8" t="s">
        <v>661</v>
      </c>
      <c r="P13" s="8" t="s">
        <v>341</v>
      </c>
      <c r="Q13" s="8">
        <v>5</v>
      </c>
      <c r="R13" s="8"/>
      <c r="S13" s="8"/>
      <c r="T13" s="8"/>
    </row>
    <row r="14" ht="60" spans="1:20">
      <c r="A14" s="8">
        <v>24</v>
      </c>
      <c r="B14" s="8" t="s">
        <v>92</v>
      </c>
      <c r="C14" s="9" t="s">
        <v>665</v>
      </c>
      <c r="D14" s="8" t="s">
        <v>341</v>
      </c>
      <c r="E14" s="8">
        <v>5</v>
      </c>
      <c r="F14" s="9" t="s">
        <v>666</v>
      </c>
      <c r="G14" s="8" t="s">
        <v>341</v>
      </c>
      <c r="H14" s="8">
        <v>4</v>
      </c>
      <c r="I14" s="9" t="s">
        <v>667</v>
      </c>
      <c r="J14" s="8" t="s">
        <v>668</v>
      </c>
      <c r="K14" s="8">
        <v>5</v>
      </c>
      <c r="L14" s="9" t="s">
        <v>667</v>
      </c>
      <c r="M14" s="8" t="s">
        <v>341</v>
      </c>
      <c r="N14" s="8">
        <v>4</v>
      </c>
      <c r="O14" s="9" t="s">
        <v>669</v>
      </c>
      <c r="P14" s="9" t="s">
        <v>561</v>
      </c>
      <c r="Q14" s="8">
        <v>5</v>
      </c>
      <c r="R14" s="9" t="s">
        <v>670</v>
      </c>
      <c r="S14" s="8" t="s">
        <v>341</v>
      </c>
      <c r="T14" s="8">
        <v>4</v>
      </c>
    </row>
    <row r="15" ht="72" spans="1:20">
      <c r="A15" s="8">
        <v>25</v>
      </c>
      <c r="B15" s="8" t="s">
        <v>99</v>
      </c>
      <c r="C15" s="9" t="s">
        <v>671</v>
      </c>
      <c r="D15" s="8" t="s">
        <v>341</v>
      </c>
      <c r="E15" s="8">
        <v>5</v>
      </c>
      <c r="F15" s="9" t="s">
        <v>672</v>
      </c>
      <c r="G15" s="8" t="s">
        <v>341</v>
      </c>
      <c r="H15" s="8">
        <v>4</v>
      </c>
      <c r="I15" s="9" t="s">
        <v>667</v>
      </c>
      <c r="J15" s="8" t="s">
        <v>668</v>
      </c>
      <c r="K15" s="8">
        <v>5</v>
      </c>
      <c r="L15" s="9" t="s">
        <v>667</v>
      </c>
      <c r="M15" s="8" t="s">
        <v>341</v>
      </c>
      <c r="N15" s="8">
        <v>4</v>
      </c>
      <c r="O15" s="9" t="s">
        <v>673</v>
      </c>
      <c r="P15" s="9" t="s">
        <v>561</v>
      </c>
      <c r="Q15" s="8">
        <v>5</v>
      </c>
      <c r="R15" s="16" t="s">
        <v>674</v>
      </c>
      <c r="S15" s="8" t="s">
        <v>341</v>
      </c>
      <c r="T15" s="8">
        <v>4</v>
      </c>
    </row>
    <row r="16" ht="108" spans="1:20">
      <c r="A16" s="8">
        <v>26</v>
      </c>
      <c r="B16" s="8" t="s">
        <v>112</v>
      </c>
      <c r="C16" s="9" t="s">
        <v>675</v>
      </c>
      <c r="D16" s="8" t="s">
        <v>676</v>
      </c>
      <c r="E16" s="8">
        <v>5</v>
      </c>
      <c r="F16" s="9" t="s">
        <v>677</v>
      </c>
      <c r="G16" s="8" t="s">
        <v>341</v>
      </c>
      <c r="H16" s="8">
        <v>4</v>
      </c>
      <c r="I16" s="9" t="s">
        <v>678</v>
      </c>
      <c r="J16" s="8" t="s">
        <v>679</v>
      </c>
      <c r="K16" s="8">
        <v>5</v>
      </c>
      <c r="L16" s="9" t="s">
        <v>680</v>
      </c>
      <c r="M16" s="8" t="s">
        <v>681</v>
      </c>
      <c r="N16" s="8">
        <v>4</v>
      </c>
      <c r="O16" s="9" t="s">
        <v>682</v>
      </c>
      <c r="P16" s="8" t="s">
        <v>683</v>
      </c>
      <c r="Q16" s="8">
        <v>5</v>
      </c>
      <c r="R16" s="9" t="s">
        <v>684</v>
      </c>
      <c r="S16" s="8" t="s">
        <v>358</v>
      </c>
      <c r="T16" s="8">
        <v>4</v>
      </c>
    </row>
    <row r="17" s="2" customFormat="1" ht="67.5" spans="1:20">
      <c r="A17" s="8">
        <v>27</v>
      </c>
      <c r="B17" s="8" t="s">
        <v>120</v>
      </c>
      <c r="C17" s="8" t="s">
        <v>685</v>
      </c>
      <c r="D17" s="8" t="s">
        <v>331</v>
      </c>
      <c r="E17" s="8">
        <v>5</v>
      </c>
      <c r="F17" s="8" t="s">
        <v>686</v>
      </c>
      <c r="G17" s="8" t="s">
        <v>687</v>
      </c>
      <c r="H17" s="8">
        <v>4</v>
      </c>
      <c r="I17" s="8" t="s">
        <v>688</v>
      </c>
      <c r="J17" s="8" t="s">
        <v>341</v>
      </c>
      <c r="K17" s="8">
        <v>5</v>
      </c>
      <c r="L17" s="8" t="s">
        <v>689</v>
      </c>
      <c r="M17" s="8" t="s">
        <v>636</v>
      </c>
      <c r="N17" s="8">
        <v>4</v>
      </c>
      <c r="O17" s="14" t="s">
        <v>690</v>
      </c>
      <c r="P17" s="13" t="s">
        <v>341</v>
      </c>
      <c r="Q17" s="8">
        <v>5</v>
      </c>
      <c r="R17" s="8"/>
      <c r="S17" s="8"/>
      <c r="T17" s="8"/>
    </row>
    <row r="18" ht="27" spans="1:20">
      <c r="A18" s="8">
        <v>28</v>
      </c>
      <c r="B18" s="8" t="s">
        <v>691</v>
      </c>
      <c r="C18" s="8" t="s">
        <v>692</v>
      </c>
      <c r="D18" s="8" t="s">
        <v>693</v>
      </c>
      <c r="E18" s="8">
        <v>5</v>
      </c>
      <c r="F18" s="8" t="s">
        <v>694</v>
      </c>
      <c r="G18" s="8" t="s">
        <v>687</v>
      </c>
      <c r="H18" s="8">
        <v>4</v>
      </c>
      <c r="I18" s="14" t="s">
        <v>695</v>
      </c>
      <c r="J18" s="8" t="s">
        <v>341</v>
      </c>
      <c r="K18" s="8">
        <v>5</v>
      </c>
      <c r="L18" s="8" t="s">
        <v>696</v>
      </c>
      <c r="M18" s="8" t="s">
        <v>697</v>
      </c>
      <c r="N18" s="8">
        <v>4</v>
      </c>
      <c r="O18" s="14" t="s">
        <v>690</v>
      </c>
      <c r="P18" s="13" t="s">
        <v>341</v>
      </c>
      <c r="Q18" s="8">
        <v>5</v>
      </c>
      <c r="R18" s="8"/>
      <c r="S18" s="8"/>
      <c r="T18" s="8"/>
    </row>
    <row r="19" ht="40.5" spans="1:20">
      <c r="A19" s="8">
        <v>29</v>
      </c>
      <c r="B19" s="8" t="s">
        <v>698</v>
      </c>
      <c r="C19" s="8" t="s">
        <v>699</v>
      </c>
      <c r="D19" s="8" t="s">
        <v>700</v>
      </c>
      <c r="E19" s="8">
        <v>5</v>
      </c>
      <c r="F19" s="8" t="s">
        <v>701</v>
      </c>
      <c r="G19" s="8" t="s">
        <v>702</v>
      </c>
      <c r="H19" s="8">
        <v>4</v>
      </c>
      <c r="I19" s="14" t="s">
        <v>703</v>
      </c>
      <c r="J19" s="8" t="s">
        <v>341</v>
      </c>
      <c r="K19" s="8">
        <v>5</v>
      </c>
      <c r="L19" s="8" t="s">
        <v>704</v>
      </c>
      <c r="M19" s="8" t="s">
        <v>636</v>
      </c>
      <c r="N19" s="8">
        <v>4</v>
      </c>
      <c r="O19" s="14" t="s">
        <v>690</v>
      </c>
      <c r="P19" s="13" t="s">
        <v>341</v>
      </c>
      <c r="Q19" s="8">
        <v>5</v>
      </c>
      <c r="R19" s="8"/>
      <c r="S19" s="8"/>
      <c r="T19" s="8"/>
    </row>
    <row r="20" ht="54" spans="1:20">
      <c r="A20" s="8">
        <v>30</v>
      </c>
      <c r="B20" s="8" t="s">
        <v>705</v>
      </c>
      <c r="C20" s="8" t="s">
        <v>706</v>
      </c>
      <c r="D20" s="8" t="s">
        <v>707</v>
      </c>
      <c r="E20" s="8">
        <v>5</v>
      </c>
      <c r="F20" s="8" t="s">
        <v>708</v>
      </c>
      <c r="G20" s="8" t="s">
        <v>693</v>
      </c>
      <c r="H20" s="8">
        <v>4</v>
      </c>
      <c r="I20" s="14" t="s">
        <v>709</v>
      </c>
      <c r="J20" s="8" t="s">
        <v>341</v>
      </c>
      <c r="K20" s="8">
        <v>5</v>
      </c>
      <c r="L20" s="14" t="s">
        <v>710</v>
      </c>
      <c r="M20" s="8" t="s">
        <v>636</v>
      </c>
      <c r="N20" s="8">
        <v>4</v>
      </c>
      <c r="O20" s="14" t="s">
        <v>690</v>
      </c>
      <c r="P20" s="13" t="s">
        <v>341</v>
      </c>
      <c r="Q20" s="8">
        <v>5</v>
      </c>
      <c r="R20" s="8"/>
      <c r="S20" s="8"/>
      <c r="T20" s="8"/>
    </row>
    <row r="21" s="2" customFormat="1" ht="81" spans="1:20">
      <c r="A21" s="8">
        <v>31</v>
      </c>
      <c r="B21" s="8" t="s">
        <v>129</v>
      </c>
      <c r="C21" s="8" t="s">
        <v>711</v>
      </c>
      <c r="D21" s="8" t="s">
        <v>712</v>
      </c>
      <c r="E21" s="8">
        <v>5</v>
      </c>
      <c r="F21" s="8" t="s">
        <v>713</v>
      </c>
      <c r="G21" s="8" t="s">
        <v>714</v>
      </c>
      <c r="H21" s="8">
        <v>4</v>
      </c>
      <c r="I21" s="8" t="s">
        <v>715</v>
      </c>
      <c r="J21" s="8" t="s">
        <v>716</v>
      </c>
      <c r="K21" s="8">
        <v>5</v>
      </c>
      <c r="L21" s="8" t="s">
        <v>717</v>
      </c>
      <c r="M21" s="8" t="s">
        <v>356</v>
      </c>
      <c r="N21" s="8">
        <v>4</v>
      </c>
      <c r="O21" s="8" t="s">
        <v>718</v>
      </c>
      <c r="P21" s="15" t="s">
        <v>341</v>
      </c>
      <c r="Q21" s="8">
        <v>5</v>
      </c>
      <c r="R21" s="8"/>
      <c r="S21" s="8"/>
      <c r="T21" s="8"/>
    </row>
    <row r="22" s="2" customFormat="1" ht="67.5" spans="1:20">
      <c r="A22" s="8">
        <v>32</v>
      </c>
      <c r="B22" s="8" t="s">
        <v>131</v>
      </c>
      <c r="C22" s="8" t="s">
        <v>719</v>
      </c>
      <c r="D22" s="8" t="s">
        <v>693</v>
      </c>
      <c r="E22" s="8">
        <v>5</v>
      </c>
      <c r="F22" s="8" t="s">
        <v>701</v>
      </c>
      <c r="G22" s="8" t="s">
        <v>693</v>
      </c>
      <c r="H22" s="8">
        <v>4</v>
      </c>
      <c r="I22" s="8" t="s">
        <v>720</v>
      </c>
      <c r="J22" s="8" t="s">
        <v>636</v>
      </c>
      <c r="K22" s="8">
        <v>5</v>
      </c>
      <c r="L22" s="8" t="s">
        <v>721</v>
      </c>
      <c r="M22" s="8" t="s">
        <v>636</v>
      </c>
      <c r="N22" s="8">
        <v>4</v>
      </c>
      <c r="O22" s="8" t="s">
        <v>718</v>
      </c>
      <c r="P22" s="15" t="s">
        <v>341</v>
      </c>
      <c r="Q22" s="8">
        <v>5</v>
      </c>
      <c r="R22" s="8"/>
      <c r="S22" s="8"/>
      <c r="T22" s="8"/>
    </row>
    <row r="23" s="2" customFormat="1" ht="54" spans="1:20">
      <c r="A23" s="8">
        <v>33</v>
      </c>
      <c r="B23" s="8" t="s">
        <v>140</v>
      </c>
      <c r="C23" s="8" t="s">
        <v>722</v>
      </c>
      <c r="D23" s="8" t="s">
        <v>693</v>
      </c>
      <c r="E23" s="8">
        <v>5</v>
      </c>
      <c r="F23" s="8" t="s">
        <v>723</v>
      </c>
      <c r="G23" s="8" t="s">
        <v>693</v>
      </c>
      <c r="H23" s="8">
        <v>4</v>
      </c>
      <c r="I23" s="8" t="s">
        <v>724</v>
      </c>
      <c r="J23" s="8" t="s">
        <v>636</v>
      </c>
      <c r="K23" s="8">
        <v>5</v>
      </c>
      <c r="L23" s="8" t="s">
        <v>725</v>
      </c>
      <c r="M23" s="8" t="s">
        <v>636</v>
      </c>
      <c r="N23" s="8">
        <v>4</v>
      </c>
      <c r="O23" s="8" t="s">
        <v>726</v>
      </c>
      <c r="P23" s="8" t="s">
        <v>636</v>
      </c>
      <c r="Q23" s="8">
        <v>5</v>
      </c>
      <c r="R23" s="8"/>
      <c r="S23" s="8"/>
      <c r="T23" s="8"/>
    </row>
    <row r="24" s="2" customFormat="1" ht="54" spans="1:20">
      <c r="A24" s="8">
        <v>34</v>
      </c>
      <c r="B24" s="8" t="s">
        <v>149</v>
      </c>
      <c r="C24" s="8" t="s">
        <v>727</v>
      </c>
      <c r="D24" s="8" t="s">
        <v>693</v>
      </c>
      <c r="E24" s="8">
        <v>5</v>
      </c>
      <c r="F24" s="8" t="s">
        <v>728</v>
      </c>
      <c r="G24" s="8" t="s">
        <v>693</v>
      </c>
      <c r="H24" s="8">
        <v>4</v>
      </c>
      <c r="I24" s="8" t="s">
        <v>729</v>
      </c>
      <c r="J24" s="8" t="s">
        <v>636</v>
      </c>
      <c r="K24" s="8">
        <v>5</v>
      </c>
      <c r="L24" s="8" t="s">
        <v>730</v>
      </c>
      <c r="M24" s="8" t="s">
        <v>636</v>
      </c>
      <c r="N24" s="8">
        <v>4</v>
      </c>
      <c r="O24" s="8" t="s">
        <v>726</v>
      </c>
      <c r="P24" s="8" t="s">
        <v>636</v>
      </c>
      <c r="Q24" s="8">
        <v>5</v>
      </c>
      <c r="R24" s="8"/>
      <c r="S24" s="8"/>
      <c r="T24" s="8"/>
    </row>
    <row r="25" s="2" customFormat="1" ht="54" spans="1:20">
      <c r="A25" s="8">
        <v>35</v>
      </c>
      <c r="B25" s="8" t="s">
        <v>167</v>
      </c>
      <c r="C25" s="8" t="s">
        <v>731</v>
      </c>
      <c r="D25" s="8" t="s">
        <v>693</v>
      </c>
      <c r="E25" s="8">
        <v>5</v>
      </c>
      <c r="F25" s="8" t="s">
        <v>732</v>
      </c>
      <c r="G25" s="8" t="s">
        <v>693</v>
      </c>
      <c r="H25" s="8">
        <v>4</v>
      </c>
      <c r="I25" s="8" t="s">
        <v>733</v>
      </c>
      <c r="J25" s="8" t="s">
        <v>636</v>
      </c>
      <c r="K25" s="8">
        <v>5</v>
      </c>
      <c r="L25" s="8" t="s">
        <v>734</v>
      </c>
      <c r="M25" s="8" t="s">
        <v>636</v>
      </c>
      <c r="N25" s="8">
        <v>4</v>
      </c>
      <c r="O25" s="8" t="s">
        <v>726</v>
      </c>
      <c r="P25" s="8" t="s">
        <v>636</v>
      </c>
      <c r="Q25" s="8">
        <v>5</v>
      </c>
      <c r="R25" s="8"/>
      <c r="S25" s="8"/>
      <c r="T25" s="8"/>
    </row>
    <row r="26" s="2" customFormat="1" ht="54" spans="1:20">
      <c r="A26" s="8">
        <v>36</v>
      </c>
      <c r="B26" s="8" t="s">
        <v>168</v>
      </c>
      <c r="C26" s="8" t="s">
        <v>735</v>
      </c>
      <c r="D26" s="8" t="s">
        <v>693</v>
      </c>
      <c r="E26" s="8">
        <v>5</v>
      </c>
      <c r="F26" s="8" t="s">
        <v>736</v>
      </c>
      <c r="G26" s="8" t="s">
        <v>693</v>
      </c>
      <c r="H26" s="8">
        <v>4</v>
      </c>
      <c r="I26" s="8" t="s">
        <v>733</v>
      </c>
      <c r="J26" s="8" t="s">
        <v>636</v>
      </c>
      <c r="K26" s="8">
        <v>5</v>
      </c>
      <c r="L26" s="8" t="s">
        <v>734</v>
      </c>
      <c r="M26" s="8" t="s">
        <v>636</v>
      </c>
      <c r="N26" s="8">
        <v>4</v>
      </c>
      <c r="O26" s="8" t="s">
        <v>726</v>
      </c>
      <c r="P26" s="8" t="s">
        <v>636</v>
      </c>
      <c r="Q26" s="8">
        <v>5</v>
      </c>
      <c r="R26" s="8"/>
      <c r="S26" s="8"/>
      <c r="T26" s="8"/>
    </row>
    <row r="27" s="2" customFormat="1" ht="54" spans="1:20">
      <c r="A27" s="8">
        <v>37</v>
      </c>
      <c r="B27" s="8" t="s">
        <v>169</v>
      </c>
      <c r="C27" s="8" t="s">
        <v>737</v>
      </c>
      <c r="D27" s="8" t="s">
        <v>693</v>
      </c>
      <c r="E27" s="8">
        <v>5</v>
      </c>
      <c r="F27" s="8" t="s">
        <v>738</v>
      </c>
      <c r="G27" s="8" t="s">
        <v>693</v>
      </c>
      <c r="H27" s="8">
        <v>4</v>
      </c>
      <c r="I27" s="8" t="s">
        <v>733</v>
      </c>
      <c r="J27" s="8" t="s">
        <v>636</v>
      </c>
      <c r="K27" s="8">
        <v>5</v>
      </c>
      <c r="L27" s="8" t="s">
        <v>734</v>
      </c>
      <c r="M27" s="8" t="s">
        <v>636</v>
      </c>
      <c r="N27" s="8">
        <v>4</v>
      </c>
      <c r="O27" s="8" t="s">
        <v>726</v>
      </c>
      <c r="P27" s="8" t="s">
        <v>636</v>
      </c>
      <c r="Q27" s="8">
        <v>5</v>
      </c>
      <c r="R27" s="8"/>
      <c r="S27" s="8"/>
      <c r="T27" s="8"/>
    </row>
    <row r="28" s="2" customFormat="1" ht="54" spans="1:20">
      <c r="A28" s="8">
        <v>38</v>
      </c>
      <c r="B28" s="10" t="s">
        <v>170</v>
      </c>
      <c r="C28" s="10" t="s">
        <v>739</v>
      </c>
      <c r="D28" s="10" t="s">
        <v>693</v>
      </c>
      <c r="E28" s="10">
        <v>5</v>
      </c>
      <c r="F28" s="8" t="s">
        <v>740</v>
      </c>
      <c r="G28" s="10" t="s">
        <v>693</v>
      </c>
      <c r="H28" s="10">
        <v>4</v>
      </c>
      <c r="I28" s="8" t="s">
        <v>741</v>
      </c>
      <c r="J28" s="8" t="s">
        <v>636</v>
      </c>
      <c r="K28" s="8">
        <v>5</v>
      </c>
      <c r="L28" s="8" t="s">
        <v>734</v>
      </c>
      <c r="M28" s="8" t="s">
        <v>636</v>
      </c>
      <c r="N28" s="8">
        <v>4</v>
      </c>
      <c r="O28" s="8" t="s">
        <v>726</v>
      </c>
      <c r="P28" s="8" t="s">
        <v>636</v>
      </c>
      <c r="Q28" s="8">
        <v>5</v>
      </c>
      <c r="R28" s="8"/>
      <c r="S28" s="8"/>
      <c r="T28" s="8"/>
    </row>
    <row r="29" s="3" customFormat="1" ht="54" spans="1:20">
      <c r="A29" s="8">
        <v>39</v>
      </c>
      <c r="B29" s="10" t="s">
        <v>171</v>
      </c>
      <c r="C29" s="10" t="s">
        <v>742</v>
      </c>
      <c r="D29" s="10" t="s">
        <v>693</v>
      </c>
      <c r="E29" s="10">
        <v>5</v>
      </c>
      <c r="F29" s="8" t="s">
        <v>743</v>
      </c>
      <c r="G29" s="10" t="s">
        <v>693</v>
      </c>
      <c r="H29" s="10">
        <v>4</v>
      </c>
      <c r="I29" s="10" t="s">
        <v>744</v>
      </c>
      <c r="J29" s="10" t="s">
        <v>636</v>
      </c>
      <c r="K29" s="10">
        <v>5</v>
      </c>
      <c r="L29" s="8" t="s">
        <v>734</v>
      </c>
      <c r="M29" s="10" t="s">
        <v>636</v>
      </c>
      <c r="N29" s="10">
        <v>4</v>
      </c>
      <c r="O29" s="10" t="s">
        <v>726</v>
      </c>
      <c r="P29" s="10" t="s">
        <v>636</v>
      </c>
      <c r="Q29" s="10">
        <v>5</v>
      </c>
      <c r="R29" s="10"/>
      <c r="S29" s="10"/>
      <c r="T29" s="10"/>
    </row>
    <row r="30" s="4" customFormat="1" ht="40.5" spans="1:20">
      <c r="A30" s="8">
        <v>40</v>
      </c>
      <c r="B30" s="8" t="s">
        <v>172</v>
      </c>
      <c r="C30" s="8" t="s">
        <v>745</v>
      </c>
      <c r="D30" s="8" t="s">
        <v>746</v>
      </c>
      <c r="E30" s="8">
        <v>5</v>
      </c>
      <c r="F30" s="8" t="s">
        <v>747</v>
      </c>
      <c r="G30" s="8" t="s">
        <v>746</v>
      </c>
      <c r="H30" s="8">
        <v>4</v>
      </c>
      <c r="I30" s="8" t="s">
        <v>748</v>
      </c>
      <c r="J30" s="8" t="s">
        <v>749</v>
      </c>
      <c r="K30" s="8">
        <v>5</v>
      </c>
      <c r="L30" s="8" t="s">
        <v>750</v>
      </c>
      <c r="M30" s="8" t="s">
        <v>341</v>
      </c>
      <c r="N30" s="8">
        <v>4</v>
      </c>
      <c r="O30" s="8" t="s">
        <v>751</v>
      </c>
      <c r="P30" s="8" t="s">
        <v>752</v>
      </c>
      <c r="Q30" s="8">
        <v>5</v>
      </c>
      <c r="R30" s="8"/>
      <c r="S30" s="8"/>
      <c r="T30" s="8"/>
    </row>
    <row r="31" s="4" customFormat="1" ht="40.5" spans="1:20">
      <c r="A31" s="8">
        <v>41</v>
      </c>
      <c r="B31" s="8" t="s">
        <v>173</v>
      </c>
      <c r="C31" s="8" t="s">
        <v>753</v>
      </c>
      <c r="D31" s="8" t="s">
        <v>746</v>
      </c>
      <c r="E31" s="8">
        <v>5</v>
      </c>
      <c r="F31" s="8" t="s">
        <v>754</v>
      </c>
      <c r="G31" s="8" t="s">
        <v>746</v>
      </c>
      <c r="H31" s="8">
        <v>4</v>
      </c>
      <c r="I31" s="8" t="s">
        <v>748</v>
      </c>
      <c r="J31" s="8" t="s">
        <v>749</v>
      </c>
      <c r="K31" s="8">
        <v>5</v>
      </c>
      <c r="L31" s="8" t="s">
        <v>750</v>
      </c>
      <c r="M31" s="8" t="s">
        <v>341</v>
      </c>
      <c r="N31" s="8">
        <v>4</v>
      </c>
      <c r="O31" s="8" t="s">
        <v>751</v>
      </c>
      <c r="P31" s="8" t="s">
        <v>752</v>
      </c>
      <c r="Q31" s="8">
        <v>5</v>
      </c>
      <c r="R31" s="8"/>
      <c r="S31" s="8"/>
      <c r="T31" s="8"/>
    </row>
    <row r="32" s="4" customFormat="1" ht="40.5" spans="1:20">
      <c r="A32" s="8">
        <v>42</v>
      </c>
      <c r="B32" s="8" t="s">
        <v>174</v>
      </c>
      <c r="C32" s="8" t="s">
        <v>755</v>
      </c>
      <c r="D32" s="8" t="s">
        <v>746</v>
      </c>
      <c r="E32" s="8">
        <v>5</v>
      </c>
      <c r="F32" s="8" t="s">
        <v>756</v>
      </c>
      <c r="G32" s="8" t="s">
        <v>746</v>
      </c>
      <c r="H32" s="8">
        <v>4</v>
      </c>
      <c r="I32" s="8" t="s">
        <v>748</v>
      </c>
      <c r="J32" s="8" t="s">
        <v>749</v>
      </c>
      <c r="K32" s="8">
        <v>5</v>
      </c>
      <c r="L32" s="8" t="s">
        <v>750</v>
      </c>
      <c r="M32" s="8" t="s">
        <v>341</v>
      </c>
      <c r="N32" s="8">
        <v>4</v>
      </c>
      <c r="O32" s="8" t="s">
        <v>751</v>
      </c>
      <c r="P32" s="8" t="s">
        <v>752</v>
      </c>
      <c r="Q32" s="8">
        <v>5</v>
      </c>
      <c r="R32" s="8"/>
      <c r="S32" s="8"/>
      <c r="T32" s="8"/>
    </row>
    <row r="33" s="4" customFormat="1" ht="40.5" spans="1:20">
      <c r="A33" s="8">
        <v>43</v>
      </c>
      <c r="B33" s="8" t="s">
        <v>175</v>
      </c>
      <c r="C33" s="8" t="s">
        <v>757</v>
      </c>
      <c r="D33" s="8" t="s">
        <v>746</v>
      </c>
      <c r="E33" s="8">
        <v>5</v>
      </c>
      <c r="F33" s="8" t="s">
        <v>758</v>
      </c>
      <c r="G33" s="8" t="s">
        <v>746</v>
      </c>
      <c r="H33" s="8">
        <v>4</v>
      </c>
      <c r="I33" s="8" t="s">
        <v>748</v>
      </c>
      <c r="J33" s="8" t="s">
        <v>749</v>
      </c>
      <c r="K33" s="8">
        <v>5</v>
      </c>
      <c r="L33" s="8" t="s">
        <v>750</v>
      </c>
      <c r="M33" s="8" t="s">
        <v>341</v>
      </c>
      <c r="N33" s="8">
        <v>4</v>
      </c>
      <c r="O33" s="8" t="s">
        <v>751</v>
      </c>
      <c r="P33" s="8" t="s">
        <v>752</v>
      </c>
      <c r="Q33" s="8">
        <v>5</v>
      </c>
      <c r="R33" s="8"/>
      <c r="S33" s="8"/>
      <c r="T33" s="8"/>
    </row>
    <row r="34" s="4" customFormat="1" ht="40.5" spans="1:20">
      <c r="A34" s="8">
        <v>44</v>
      </c>
      <c r="B34" s="8" t="s">
        <v>176</v>
      </c>
      <c r="C34" s="8" t="s">
        <v>759</v>
      </c>
      <c r="D34" s="8" t="s">
        <v>746</v>
      </c>
      <c r="E34" s="8">
        <v>5</v>
      </c>
      <c r="F34" s="8" t="s">
        <v>760</v>
      </c>
      <c r="G34" s="8" t="s">
        <v>746</v>
      </c>
      <c r="H34" s="8">
        <v>4</v>
      </c>
      <c r="I34" s="8" t="s">
        <v>748</v>
      </c>
      <c r="J34" s="8" t="s">
        <v>749</v>
      </c>
      <c r="K34" s="8">
        <v>5</v>
      </c>
      <c r="L34" s="8" t="s">
        <v>750</v>
      </c>
      <c r="M34" s="8" t="s">
        <v>341</v>
      </c>
      <c r="N34" s="8">
        <v>4</v>
      </c>
      <c r="O34" s="8" t="s">
        <v>751</v>
      </c>
      <c r="P34" s="8" t="s">
        <v>752</v>
      </c>
      <c r="Q34" s="8">
        <v>5</v>
      </c>
      <c r="R34" s="8"/>
      <c r="S34" s="8"/>
      <c r="T34" s="8"/>
    </row>
    <row r="35" s="4" customFormat="1" ht="40.5" spans="1:20">
      <c r="A35" s="8">
        <v>45</v>
      </c>
      <c r="B35" s="8" t="s">
        <v>177</v>
      </c>
      <c r="C35" s="8" t="s">
        <v>761</v>
      </c>
      <c r="D35" s="8" t="s">
        <v>746</v>
      </c>
      <c r="E35" s="8">
        <v>5</v>
      </c>
      <c r="F35" s="8" t="s">
        <v>762</v>
      </c>
      <c r="G35" s="8" t="s">
        <v>746</v>
      </c>
      <c r="H35" s="8">
        <v>4</v>
      </c>
      <c r="I35" s="8" t="s">
        <v>748</v>
      </c>
      <c r="J35" s="8" t="s">
        <v>749</v>
      </c>
      <c r="K35" s="8">
        <v>5</v>
      </c>
      <c r="L35" s="8" t="s">
        <v>750</v>
      </c>
      <c r="M35" s="8" t="s">
        <v>341</v>
      </c>
      <c r="N35" s="8">
        <v>4</v>
      </c>
      <c r="O35" s="8" t="s">
        <v>751</v>
      </c>
      <c r="P35" s="8" t="s">
        <v>752</v>
      </c>
      <c r="Q35" s="8">
        <v>5</v>
      </c>
      <c r="R35" s="8"/>
      <c r="S35" s="8"/>
      <c r="T35" s="8"/>
    </row>
    <row r="36" s="4" customFormat="1" ht="40.5" spans="1:20">
      <c r="A36" s="8">
        <v>46</v>
      </c>
      <c r="B36" s="8" t="s">
        <v>178</v>
      </c>
      <c r="C36" s="8" t="s">
        <v>763</v>
      </c>
      <c r="D36" s="8" t="s">
        <v>746</v>
      </c>
      <c r="E36" s="8">
        <v>5</v>
      </c>
      <c r="F36" s="8" t="s">
        <v>764</v>
      </c>
      <c r="G36" s="8" t="s">
        <v>746</v>
      </c>
      <c r="H36" s="8">
        <v>4</v>
      </c>
      <c r="I36" s="8" t="s">
        <v>748</v>
      </c>
      <c r="J36" s="8" t="s">
        <v>749</v>
      </c>
      <c r="K36" s="8">
        <v>5</v>
      </c>
      <c r="L36" s="8" t="s">
        <v>750</v>
      </c>
      <c r="M36" s="8" t="s">
        <v>341</v>
      </c>
      <c r="N36" s="8">
        <v>4</v>
      </c>
      <c r="O36" s="8" t="s">
        <v>751</v>
      </c>
      <c r="P36" s="8" t="s">
        <v>752</v>
      </c>
      <c r="Q36" s="8">
        <v>5</v>
      </c>
      <c r="R36" s="8"/>
      <c r="S36" s="8"/>
      <c r="T36" s="8"/>
    </row>
    <row r="37" ht="67.5" spans="1:20">
      <c r="A37" s="11">
        <v>47</v>
      </c>
      <c r="B37" s="12" t="s">
        <v>134</v>
      </c>
      <c r="C37" s="8" t="s">
        <v>765</v>
      </c>
      <c r="D37" s="13" t="s">
        <v>766</v>
      </c>
      <c r="E37" s="8">
        <v>5</v>
      </c>
      <c r="F37" s="8" t="s">
        <v>767</v>
      </c>
      <c r="G37" s="8" t="s">
        <v>768</v>
      </c>
      <c r="H37" s="8">
        <v>4</v>
      </c>
      <c r="I37" s="8" t="s">
        <v>769</v>
      </c>
      <c r="J37" s="8" t="s">
        <v>770</v>
      </c>
      <c r="K37" s="8">
        <v>5</v>
      </c>
      <c r="L37" s="8" t="s">
        <v>771</v>
      </c>
      <c r="M37" s="8" t="s">
        <v>772</v>
      </c>
      <c r="N37" s="8">
        <v>4</v>
      </c>
      <c r="O37" s="8" t="s">
        <v>718</v>
      </c>
      <c r="P37" s="8" t="s">
        <v>773</v>
      </c>
      <c r="Q37" s="8">
        <v>5</v>
      </c>
      <c r="R37" s="8"/>
      <c r="S37" s="8"/>
      <c r="T37" s="8"/>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7</vt:i4>
      </vt:variant>
    </vt:vector>
  </HeadingPairs>
  <TitlesOfParts>
    <vt:vector size="7" baseType="lpstr">
      <vt:lpstr>产品类型库</vt:lpstr>
      <vt:lpstr>产品库</vt:lpstr>
      <vt:lpstr>场景名称库</vt:lpstr>
      <vt:lpstr>客户画像库</vt:lpstr>
      <vt:lpstr>问候对话池</vt:lpstr>
      <vt:lpstr>关怀对话池</vt:lpstr>
      <vt:lpstr>销售对话池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侯</cp:lastModifiedBy>
  <dcterms:created xsi:type="dcterms:W3CDTF">2006-09-16T00:00:00Z</dcterms:created>
  <dcterms:modified xsi:type="dcterms:W3CDTF">2023-09-14T08:34:25Z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BE72C77BF4B247FEA28974EBAE0ED668_13</vt:lpwstr>
  </property>
  <property fmtid="{D5CDD505-2E9C-101B-9397-08002B2CF9AE}" pid="3" name="KSOProductBuildVer">
    <vt:lpwstr>2052-12.1.0.15120</vt:lpwstr>
  </property>
</Properties>
</file>